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ina.bikes\Downloads\"/>
    </mc:Choice>
  </mc:AlternateContent>
  <bookViews>
    <workbookView xWindow="-120" yWindow="-120" windowWidth="29040" windowHeight="15840"/>
  </bookViews>
  <sheets>
    <sheet name="All Ticket" sheetId="3" r:id="rId1"/>
    <sheet name="Report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'All Ticket'!$A$34:$R$119</definedName>
    <definedName name="_xlnm._FilterDatabase" localSheetId="1" hidden="1">Report!$B$6:$AF$19</definedName>
    <definedName name="AAA">[1]!Table23[#Data]</definedName>
    <definedName name="bbb" localSheetId="0">ROW(#REF!)</definedName>
    <definedName name="bbb">ROW(#REF!)</definedName>
    <definedName name="Beg_Bal" localSheetId="0">#REF!</definedName>
    <definedName name="Beg_Bal">'[2]Loan Amortization Schedule'!$C$18:$C$497</definedName>
    <definedName name="bet" localSheetId="0">DATE(YEAR([3]!Loan_Start),MONTH([3]!Loan_Start)+Payment_Number,DAY([3]!Loan_Start))</definedName>
    <definedName name="bet">DATE(YEAR(Loan_Start),MONTH(Loan_Start)+Payment_Number,DAY(Loan_Start))</definedName>
    <definedName name="BEthelehem" localSheetId="0">#REF!</definedName>
    <definedName name="BEthelehem">#REF!</definedName>
    <definedName name="beti" localSheetId="0">#REF!</definedName>
    <definedName name="beti">#REF!</definedName>
    <definedName name="bnvc" localSheetId="0">#REF!</definedName>
    <definedName name="bnvc">#REF!</definedName>
    <definedName name="bvcb" localSheetId="0">#REF!</definedName>
    <definedName name="bvcb">#REF!</definedName>
    <definedName name="cbcv" localSheetId="0">#REF!</definedName>
    <definedName name="cbcv">#REF!</definedName>
    <definedName name="Cum_Int" localSheetId="0">#REF!</definedName>
    <definedName name="Cum_Int">#REF!</definedName>
    <definedName name="cvb" localSheetId="0">#REF!</definedName>
    <definedName name="cvb">#REF!</definedName>
    <definedName name="cvbcv" localSheetId="0">#REF!</definedName>
    <definedName name="cvbcv">#REF!</definedName>
    <definedName name="cvbvc" localSheetId="0">#REF!</definedName>
    <definedName name="cvbvc">#REF!</definedName>
    <definedName name="Data" localSheetId="0">#REF!</definedName>
    <definedName name="Data">#REF!</definedName>
    <definedName name="dgfdgc" localSheetId="0">OFFSET('All Ticket'!xbx,0,0,'All Ticket'!vcb)</definedName>
    <definedName name="dgfdgc">OFFSET(xbx,0,0,vcb)</definedName>
    <definedName name="dinaras" localSheetId="0">#REF!</definedName>
    <definedName name="dinaras">#REF!</definedName>
    <definedName name="Employee">[1]!Table23[#Data]</definedName>
    <definedName name="End_Bal">'[2]Loan Amortization Schedule'!$I$18:$I$497</definedName>
    <definedName name="Extra_Pay" localSheetId="0">#REF!</definedName>
    <definedName name="Extra_Pay">'[2]Loan Amortization Schedule'!$E$18:$E$497</definedName>
    <definedName name="f" localSheetId="0">DATE(YEAR('All Ticket'!vbvccvb),MONTH('All Ticket'!vbvccvb)+Payment_Number,DAY('All Ticket'!vbvccvb))</definedName>
    <definedName name="f">DATE(YEAR(vbvccvb),MONTH(vbvccvb)+Payment_Number,DAY(vbvccvb))</definedName>
    <definedName name="fg" localSheetId="0">#REF!</definedName>
    <definedName name="fg">#REF!</definedName>
    <definedName name="Full_Print">'[2]Loan Amortization Schedule'!$A$1:$J$497</definedName>
    <definedName name="g" localSheetId="0">#REF!</definedName>
    <definedName name="g">#REF!</definedName>
    <definedName name="gg" localSheetId="0">#REF!</definedName>
    <definedName name="gg">#REF!</definedName>
    <definedName name="Grade">[1]!Table19[#Data]</definedName>
    <definedName name="h" localSheetId="0">#REF!</definedName>
    <definedName name="h">#REF!</definedName>
    <definedName name="Header_Row">ROW('[2]Loan Amortization Schedule'!$17:$17)</definedName>
    <definedName name="Int" localSheetId="0">#REF!</definedName>
    <definedName name="Int">'[2]Loan Amortization Schedule'!$H$18:$H$497</definedName>
    <definedName name="Interest_Rate">'[2]Loan Amortization Schedule'!$D$6</definedName>
    <definedName name="j" localSheetId="0">MATCH(0.01,'All Ticket'!fg,-1)+1</definedName>
    <definedName name="j">MATCH(0.01,fg,-1)+1</definedName>
    <definedName name="kirubel" localSheetId="0">#REF!</definedName>
    <definedName name="kirubel">#REF!</definedName>
    <definedName name="kkk" localSheetId="0">#REF!</definedName>
    <definedName name="kkk">#REF!</definedName>
    <definedName name="Last_Row" localSheetId="0">IF('All Ticket'!Values_Entered,[3]!Header_Row+'All Ticket'!Number_of_Payments,[3]!Header_Row)</definedName>
    <definedName name="Last_Row">IF(Values_Entered,Header_Row+Number_of_Payments,Header_Row)</definedName>
    <definedName name="Loan_Amount">'[2]Loan Amortization Schedule'!$D$5</definedName>
    <definedName name="Loan_Start">'[2]Loan Amortization Schedule'!$D$9</definedName>
    <definedName name="Loan_Years">'[2]Loan Amortization Schedule'!$D$7</definedName>
    <definedName name="May">[4]!Table291210[#Data]</definedName>
    <definedName name="MD">[1]!Table2[#Data]</definedName>
    <definedName name="mn" localSheetId="0">#REF!</definedName>
    <definedName name="mn">#REF!</definedName>
    <definedName name="njnmn.3" localSheetId="0">#REF!</definedName>
    <definedName name="njnmn.3">#REF!</definedName>
    <definedName name="Num_Pmt_Per_Year" localSheetId="0">#REF!</definedName>
    <definedName name="Num_Pmt_Per_Year">'[2]Loan Amortization Schedule'!$D$8</definedName>
    <definedName name="Number_of_Payments" localSheetId="0">MATCH(0.01,[3]!End_Bal,-1)+1</definedName>
    <definedName name="Number_of_Payments">MATCH(0.01,End_Bal,-1)+1</definedName>
    <definedName name="page\x2dtotal" localSheetId="0">#REF!</definedName>
    <definedName name="page\x2dtotal">#REF!</definedName>
    <definedName name="page\x2dtotal\x2dmaster0" localSheetId="0">#REF!</definedName>
    <definedName name="page\x2dtotal\x2dmaster0">#REF!</definedName>
    <definedName name="Pay_Date" localSheetId="0">#REF!</definedName>
    <definedName name="Pay_Date">#REF!</definedName>
    <definedName name="Pay_Num" localSheetId="0">#REF!</definedName>
    <definedName name="Pay_Num">'[2]Loan Amortization Schedule'!$A$18:$A$497</definedName>
    <definedName name="Payment_Date" localSheetId="0">DATE(YEAR([3]!Loan_Start),MONTH([3]!Loan_Start)+Payment_Number,DAY([3]!Loan_Start))</definedName>
    <definedName name="Payment_Date">DATE(YEAR(Loan_Start),MONTH(Loan_Start)+Payment_Number,DAY(Loan_Start))</definedName>
    <definedName name="pbb" localSheetId="0">#REF!</definedName>
    <definedName name="pbb">#REF!</definedName>
    <definedName name="Princ" localSheetId="0">#REF!</definedName>
    <definedName name="Princ">'[2]Loan Amortization Schedule'!$G$18:$G$497</definedName>
    <definedName name="Print_Area_Reset" localSheetId="0">OFFSET([3]!Full_Print,0,0,'All Ticket'!Last_Row)</definedName>
    <definedName name="Print_Area_Reset">OFFSET(Full_Print,0,0,Last_Row)</definedName>
    <definedName name="_xlnm.Print_Titles" localSheetId="0">'All Ticket'!$143:$143</definedName>
    <definedName name="Pur" localSheetId="0">DATE(YEAR([5]!Loan_Start),MONTH([5]!Loan_Start)+Payment_Number,DAY([5]!Loan_Start))</definedName>
    <definedName name="Pur">DATE(YEAR([5]!Loan_Start),MONTH([5]!Loan_Start)+Payment_Number,DAY([5]!Loan_Start))</definedName>
    <definedName name="rer" localSheetId="0">DATE(YEAR('All Ticket'!vbvccvb),MONTH('All Ticket'!vbvccvb)+Payment_Number,DAY('All Ticket'!vbvccvb))</definedName>
    <definedName name="rer">DATE(YEAR(vbvccvb),MONTH(vbvccvb)+Payment_Number,DAY(vbvccvb))</definedName>
    <definedName name="Sched_Pay" localSheetId="0">#REF!</definedName>
    <definedName name="Sched_Pay">'[2]Loan Amortization Schedule'!$D$18:$D$497</definedName>
    <definedName name="Scheduled_Extra_Payments" localSheetId="0">#REF!</definedName>
    <definedName name="Scheduled_Extra_Payments">'[2]Loan Amortization Schedule'!$D$10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'[2]Loan Amortization Schedule'!$J$5</definedName>
    <definedName name="sds" localSheetId="0">#REF!</definedName>
    <definedName name="sds">#REF!</definedName>
    <definedName name="sinaras" localSheetId="0">#REF!</definedName>
    <definedName name="sinaras">#REF!</definedName>
    <definedName name="stok" localSheetId="0">#REF!</definedName>
    <definedName name="stok">#REF!</definedName>
    <definedName name="Total_Interest" localSheetId="0">#REF!</definedName>
    <definedName name="Total_Interest">#REF!</definedName>
    <definedName name="Total_Pay" localSheetId="0">#REF!</definedName>
    <definedName name="Total_Pay">'[2]Loan Amortization Schedule'!$F$18:$F$497</definedName>
    <definedName name="Values_Entered" localSheetId="0">IF([3]!Loan_Amount*[3]!Interest_Rate*[3]!Loan_Years*[3]!Loan_Start&gt;0,1,0)</definedName>
    <definedName name="Values_Entered">IF(Loan_Amount*Interest_Rate*Loan_Years*Loan_Start&gt;0,1,0)</definedName>
    <definedName name="vbn" localSheetId="0">#REF!</definedName>
    <definedName name="vbn">#REF!</definedName>
    <definedName name="vbnv" localSheetId="0">IF('All Ticket'!cvbvc*'All Ticket'!cvbcv*'All Ticket'!njnmn.3*'All Ticket'!vbvccvb&gt;0,1,0)</definedName>
    <definedName name="vbnv">IF(cvbvc*cvbcv*njnmn.3*vbvccvb&gt;0,1,0)</definedName>
    <definedName name="vbvccvb" localSheetId="0">#REF!</definedName>
    <definedName name="vbvccvb">#REF!</definedName>
    <definedName name="vcb" localSheetId="0">IF('All Ticket'!vbnv,'All Ticket'!bbb+'All Ticket'!j,'All Ticket'!bbb)</definedName>
    <definedName name="vcb">IF(vbnv,bbb+j,bbb)</definedName>
    <definedName name="vcbvb" localSheetId="0">#REF!</definedName>
    <definedName name="vcbvb">#REF!</definedName>
    <definedName name="vnbv" localSheetId="0">#REF!</definedName>
    <definedName name="vnbv">#REF!</definedName>
    <definedName name="vnv" localSheetId="0">#REF!</definedName>
    <definedName name="vnv">#REF!</definedName>
    <definedName name="xbx" localSheetId="0">#REF!</definedName>
    <definedName name="xbx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3" i="3" l="1"/>
  <c r="C123" i="3"/>
  <c r="D207" i="3" l="1"/>
  <c r="F202" i="3"/>
  <c r="E202" i="3"/>
  <c r="C202" i="3"/>
  <c r="F201" i="3"/>
  <c r="F203" i="3" s="1"/>
  <c r="E201" i="3"/>
  <c r="C201" i="3"/>
  <c r="F197" i="3"/>
  <c r="E145" i="3"/>
  <c r="C145" i="3"/>
  <c r="E144" i="3"/>
  <c r="C144" i="3"/>
  <c r="G138" i="3"/>
  <c r="D129" i="3"/>
  <c r="F124" i="3"/>
  <c r="E124" i="3"/>
  <c r="C124" i="3"/>
  <c r="F125" i="3"/>
  <c r="E123" i="3"/>
  <c r="E36" i="3"/>
  <c r="C36" i="3"/>
  <c r="E35" i="3"/>
  <c r="C35" i="3"/>
  <c r="G29" i="3"/>
  <c r="D20" i="3"/>
  <c r="G15" i="3"/>
  <c r="F15" i="3"/>
  <c r="E15" i="3"/>
  <c r="C15" i="3"/>
  <c r="F14" i="3"/>
  <c r="F16" i="3" s="1"/>
  <c r="E14" i="3"/>
  <c r="C14" i="3"/>
  <c r="F9" i="3"/>
  <c r="F10" i="3" s="1"/>
  <c r="E9" i="3"/>
  <c r="C9" i="3"/>
  <c r="G3" i="3"/>
  <c r="G31" i="2"/>
  <c r="F31" i="2"/>
  <c r="G30" i="2"/>
  <c r="M19" i="2"/>
  <c r="N19" i="2"/>
  <c r="O19" i="2"/>
  <c r="P19" i="2"/>
  <c r="Q19" i="2"/>
  <c r="R19" i="2"/>
  <c r="S19" i="2"/>
  <c r="T19" i="2"/>
  <c r="U19" i="2"/>
  <c r="V19" i="2"/>
  <c r="W19" i="2"/>
  <c r="X19" i="2"/>
  <c r="F28" i="2" s="1"/>
  <c r="Y19" i="2"/>
  <c r="G29" i="2" s="1"/>
  <c r="Z19" i="2"/>
  <c r="AA19" i="2"/>
  <c r="AB19" i="2"/>
  <c r="AC19" i="2"/>
  <c r="AD19" i="2"/>
  <c r="AE19" i="2"/>
  <c r="AF19" i="2"/>
  <c r="L19" i="2"/>
  <c r="D132" i="3"/>
  <c r="D210" i="3"/>
  <c r="D23" i="3"/>
  <c r="D204" i="3" l="1"/>
  <c r="D17" i="3"/>
  <c r="D126" i="3"/>
  <c r="E19" i="2"/>
  <c r="F19" i="2"/>
  <c r="G19" i="2"/>
  <c r="H19" i="2"/>
  <c r="I19" i="2"/>
  <c r="J19" i="2"/>
  <c r="K19" i="2"/>
  <c r="D19" i="2"/>
</calcChain>
</file>

<file path=xl/sharedStrings.xml><?xml version="1.0" encoding="utf-8"?>
<sst xmlns="http://schemas.openxmlformats.org/spreadsheetml/2006/main" count="135" uniqueCount="74">
  <si>
    <t>Zemen Bank S.C</t>
  </si>
  <si>
    <t>Total</t>
  </si>
  <si>
    <t>Prepared By________________________________________</t>
  </si>
  <si>
    <t>Checked By________________________________________</t>
  </si>
  <si>
    <t>S/No</t>
  </si>
  <si>
    <t>Box File No</t>
  </si>
  <si>
    <t>Category of Rent</t>
  </si>
  <si>
    <t>Branch Name</t>
  </si>
  <si>
    <t>Branch Code</t>
  </si>
  <si>
    <t>Owner Name</t>
  </si>
  <si>
    <t>Contract Start</t>
  </si>
  <si>
    <t>Contract End</t>
  </si>
  <si>
    <t>Total No. of Years</t>
  </si>
  <si>
    <t>Payment Paid to Date</t>
  </si>
  <si>
    <t>Year with Fraction</t>
  </si>
  <si>
    <t>Meter Square</t>
  </si>
  <si>
    <t>Price/m² Before VAT</t>
  </si>
  <si>
    <t>VAT Rate</t>
  </si>
  <si>
    <t>Price/m² After VAT</t>
  </si>
  <si>
    <t>Monthly Rent with VAT</t>
  </si>
  <si>
    <t>Total Annual Rent</t>
  </si>
  <si>
    <t>Utility / Service Charge</t>
  </si>
  <si>
    <t>Full Payment</t>
  </si>
  <si>
    <t>Total Payment Paid</t>
  </si>
  <si>
    <t>Remaining Payment</t>
  </si>
  <si>
    <t>Outstanding Balance (Prev)</t>
  </si>
  <si>
    <t>Rent Expense</t>
  </si>
  <si>
    <t>Due</t>
  </si>
  <si>
    <t>Rent Expense − Due</t>
  </si>
  <si>
    <t>Reent Expense As Of</t>
  </si>
  <si>
    <t>Due Difference As Of</t>
  </si>
  <si>
    <t>Prepaid</t>
  </si>
  <si>
    <t>Additional Expense</t>
  </si>
  <si>
    <t>Day</t>
  </si>
  <si>
    <t>Outstanding End</t>
  </si>
  <si>
    <t xml:space="preserve">For the month of September </t>
  </si>
  <si>
    <t>Monthly Amortization Report for for  ATM</t>
  </si>
  <si>
    <t>Describtion</t>
  </si>
  <si>
    <t>Dr</t>
  </si>
  <si>
    <t>Cr</t>
  </si>
  <si>
    <t>Expense</t>
  </si>
  <si>
    <t>Payable</t>
  </si>
  <si>
    <t>Possible Entry for the Month of September</t>
  </si>
  <si>
    <t xml:space="preserve">        Date </t>
  </si>
  <si>
    <t>ATM Rent Schedule Ticket</t>
  </si>
  <si>
    <t>DEBIT</t>
  </si>
  <si>
    <t>GL Number</t>
  </si>
  <si>
    <t>Description</t>
  </si>
  <si>
    <t>Amount</t>
  </si>
  <si>
    <t xml:space="preserve">In Respect Of  </t>
  </si>
  <si>
    <t>ATM Space Rent for the Month of August 2026.</t>
  </si>
  <si>
    <t>Debit Total</t>
  </si>
  <si>
    <t>CREDIT</t>
  </si>
  <si>
    <t>000</t>
  </si>
  <si>
    <t>Amount held under A/P Miscellaneous for different  ATM space rent for the month of August ,2026.</t>
  </si>
  <si>
    <t>Credit Total</t>
  </si>
  <si>
    <t xml:space="preserve">  </t>
  </si>
  <si>
    <t>IN RESPECT OF:</t>
  </si>
  <si>
    <t>AMOUNT IN WORDS:</t>
  </si>
  <si>
    <t>BIRR</t>
  </si>
  <si>
    <t>………………………………………………………………………………………………………………………………</t>
  </si>
  <si>
    <t>Authorized Signature</t>
  </si>
  <si>
    <t>Office Rent Ticket (City Branches )</t>
  </si>
  <si>
    <t>Office rent and stamp duty expense of Kazanchis Branch for the month of August ,2026.</t>
  </si>
  <si>
    <t>Office rent and stamp duty expense of Mexico Branch for the month of August ,2026.</t>
  </si>
  <si>
    <t>Office rent and stamp duty expense of City Branches for the month of August ,2026.</t>
  </si>
  <si>
    <t>Amount held under A/P Miscellaneous for different  Office and ATM  space rent for the month of August ,2026.</t>
  </si>
  <si>
    <t>Office Rent Ticket (Outline Branches )</t>
  </si>
  <si>
    <t>Office rent and stamp duty expense of Hawassa Corporate Unit for the month of August ,2026.</t>
  </si>
  <si>
    <t>Office rent and stamp duty expense of Dechatu Branch for the month of August ,2026.</t>
  </si>
  <si>
    <t>Office rent and stamp duty expense of Outline Branches for the month of August ,2026.</t>
  </si>
  <si>
    <t>DEBIT TOTAL</t>
  </si>
  <si>
    <t>amount of summation</t>
  </si>
  <si>
    <t>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</si>
</sst>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[$-409]d\-mmm\-yyyy;@"/>
  </numFmts>
  <fonts count="14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.5"/>
      <color rgb="FF000000"/>
      <name val="Century"/>
      <family val="2"/>
    </font>
    <font>
      <b/>
      <sz val="9"/>
      <color rgb="FF000000"/>
      <name val="Century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mbria"/>
      <family val="1"/>
      <scheme val="major"/>
    </font>
    <font>
      <b/>
      <sz val="12"/>
      <name val="Cambria"/>
      <family val="2"/>
      <scheme val="major"/>
    </font>
    <font>
      <b/>
      <u/>
      <sz val="12"/>
      <name val="Cambria"/>
      <family val="1"/>
      <scheme val="major"/>
    </font>
    <font>
      <b/>
      <u/>
      <sz val="12"/>
      <name val="Cambria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EEE8AA"/>
      </patternFill>
    </fill>
    <fill>
      <patternFill patternType="solid">
        <fgColor rgb="FFAFEEEE"/>
      </patternFill>
    </fill>
    <fill>
      <patternFill patternType="solid">
        <fgColor rgb="FFD3D3D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double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 applyBorder="0"/>
    <xf numFmtId="43" fontId="5" fillId="0" borderId="0" applyFont="0" applyFill="0" applyBorder="0" applyAlignment="0" applyProtection="0"/>
    <xf numFmtId="0" fontId="1" fillId="8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46"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3" fillId="0" borderId="0" xfId="0" applyNumberFormat="1" applyFont="1" applyFill="1" applyAlignment="1" applyProtection="1"/>
    <xf numFmtId="0" fontId="0" fillId="0" borderId="1" xfId="0" applyNumberFormat="1" applyFill="1" applyBorder="1" applyAlignment="1" applyProtection="1"/>
    <xf numFmtId="4" fontId="0" fillId="0" borderId="1" xfId="0" applyNumberFormat="1" applyFill="1" applyBorder="1" applyAlignment="1" applyProtection="1"/>
    <xf numFmtId="0" fontId="4" fillId="4" borderId="1" xfId="0" applyNumberFormat="1" applyFont="1" applyFill="1" applyBorder="1" applyAlignment="1" applyProtection="1"/>
    <xf numFmtId="4" fontId="4" fillId="4" borderId="1" xfId="0" applyNumberFormat="1" applyFont="1" applyFill="1" applyBorder="1" applyAlignment="1" applyProtection="1"/>
    <xf numFmtId="0" fontId="6" fillId="0" borderId="0" xfId="0" applyFont="1"/>
    <xf numFmtId="164" fontId="6" fillId="0" borderId="0" xfId="0" applyNumberFormat="1" applyFont="1"/>
    <xf numFmtId="43" fontId="6" fillId="0" borderId="0" xfId="0" applyNumberFormat="1" applyFont="1"/>
    <xf numFmtId="43" fontId="7" fillId="0" borderId="0" xfId="1" applyFont="1"/>
    <xf numFmtId="43" fontId="6" fillId="0" borderId="0" xfId="1" applyFont="1"/>
    <xf numFmtId="0" fontId="0" fillId="0" borderId="0" xfId="0"/>
    <xf numFmtId="0" fontId="7" fillId="0" borderId="0" xfId="0" applyFont="1"/>
    <xf numFmtId="43" fontId="8" fillId="0" borderId="0" xfId="1" applyFont="1"/>
    <xf numFmtId="0" fontId="8" fillId="0" borderId="0" xfId="0" applyFont="1"/>
    <xf numFmtId="165" fontId="8" fillId="0" borderId="0" xfId="0" applyNumberFormat="1" applyFont="1"/>
    <xf numFmtId="165" fontId="7" fillId="0" borderId="0" xfId="0" applyNumberFormat="1" applyFont="1"/>
    <xf numFmtId="0" fontId="7" fillId="6" borderId="5" xfId="0" applyFont="1" applyFill="1" applyBorder="1"/>
    <xf numFmtId="0" fontId="7" fillId="6" borderId="6" xfId="0" applyFont="1" applyFill="1" applyBorder="1"/>
    <xf numFmtId="0" fontId="7" fillId="6" borderId="7" xfId="0" applyFont="1" applyFill="1" applyBorder="1"/>
    <xf numFmtId="0" fontId="7" fillId="0" borderId="5" xfId="0" applyFont="1" applyBorder="1"/>
    <xf numFmtId="43" fontId="7" fillId="0" borderId="6" xfId="1" applyFont="1" applyBorder="1"/>
    <xf numFmtId="43" fontId="7" fillId="0" borderId="7" xfId="1" applyFont="1" applyBorder="1"/>
    <xf numFmtId="165" fontId="8" fillId="0" borderId="0" xfId="1" applyNumberFormat="1" applyFont="1"/>
    <xf numFmtId="165" fontId="7" fillId="0" borderId="0" xfId="1" applyNumberFormat="1" applyFont="1"/>
    <xf numFmtId="0" fontId="7" fillId="7" borderId="8" xfId="0" applyFont="1" applyFill="1" applyBorder="1"/>
    <xf numFmtId="43" fontId="7" fillId="7" borderId="9" xfId="1" applyFont="1" applyFill="1" applyBorder="1"/>
    <xf numFmtId="43" fontId="7" fillId="7" borderId="10" xfId="1" applyFont="1" applyFill="1" applyBorder="1"/>
    <xf numFmtId="0" fontId="3" fillId="3" borderId="14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3" fillId="3" borderId="15" xfId="0" applyNumberFormat="1" applyFont="1" applyFill="1" applyBorder="1" applyAlignment="1" applyProtection="1">
      <alignment horizontal="center" vertical="center" wrapText="1"/>
    </xf>
    <xf numFmtId="0" fontId="0" fillId="0" borderId="14" xfId="0" applyNumberFormat="1" applyFill="1" applyBorder="1" applyAlignment="1" applyProtection="1"/>
    <xf numFmtId="0" fontId="0" fillId="0" borderId="15" xfId="0" applyNumberFormat="1" applyFill="1" applyBorder="1" applyAlignment="1" applyProtection="1"/>
    <xf numFmtId="4" fontId="0" fillId="0" borderId="15" xfId="0" applyNumberFormat="1" applyFill="1" applyBorder="1" applyAlignment="1" applyProtection="1"/>
    <xf numFmtId="0" fontId="4" fillId="4" borderId="14" xfId="0" applyNumberFormat="1" applyFont="1" applyFill="1" applyBorder="1" applyAlignment="1" applyProtection="1"/>
    <xf numFmtId="4" fontId="4" fillId="4" borderId="15" xfId="0" applyNumberFormat="1" applyFont="1" applyFill="1" applyBorder="1" applyAlignment="1" applyProtection="1"/>
    <xf numFmtId="0" fontId="0" fillId="0" borderId="16" xfId="0" applyNumberFormat="1" applyFill="1" applyBorder="1" applyAlignment="1" applyProtection="1"/>
    <xf numFmtId="0" fontId="0" fillId="0" borderId="17" xfId="0" applyNumberFormat="1" applyFill="1" applyBorder="1" applyAlignment="1" applyProtection="1"/>
    <xf numFmtId="0" fontId="0" fillId="0" borderId="18" xfId="0" applyNumberFormat="1" applyFill="1" applyBorder="1" applyAlignment="1" applyProtection="1"/>
    <xf numFmtId="0" fontId="8" fillId="0" borderId="0" xfId="3" applyFont="1"/>
    <xf numFmtId="0" fontId="6" fillId="0" borderId="0" xfId="3" applyFont="1"/>
    <xf numFmtId="0" fontId="9" fillId="0" borderId="0" xfId="3" applyFont="1"/>
    <xf numFmtId="0" fontId="10" fillId="9" borderId="19" xfId="3" applyFont="1" applyFill="1" applyBorder="1"/>
    <xf numFmtId="0" fontId="10" fillId="9" borderId="20" xfId="3" applyFont="1" applyFill="1" applyBorder="1"/>
    <xf numFmtId="0" fontId="11" fillId="9" borderId="20" xfId="3" applyFont="1" applyFill="1" applyBorder="1"/>
    <xf numFmtId="165" fontId="11" fillId="9" borderId="21" xfId="3" applyNumberFormat="1" applyFont="1" applyFill="1" applyBorder="1" applyAlignment="1">
      <alignment horizontal="center"/>
    </xf>
    <xf numFmtId="0" fontId="10" fillId="9" borderId="22" xfId="3" applyFont="1" applyFill="1" applyBorder="1"/>
    <xf numFmtId="0" fontId="10" fillId="9" borderId="0" xfId="3" applyFont="1" applyFill="1"/>
    <xf numFmtId="0" fontId="10" fillId="9" borderId="23" xfId="3" applyFont="1" applyFill="1" applyBorder="1"/>
    <xf numFmtId="0" fontId="12" fillId="9" borderId="22" xfId="3" applyFont="1" applyFill="1" applyBorder="1"/>
    <xf numFmtId="0" fontId="12" fillId="9" borderId="0" xfId="3" applyFont="1" applyFill="1"/>
    <xf numFmtId="0" fontId="12" fillId="9" borderId="23" xfId="3" applyFont="1" applyFill="1" applyBorder="1" applyAlignment="1">
      <alignment horizontal="center"/>
    </xf>
    <xf numFmtId="0" fontId="11" fillId="11" borderId="5" xfId="3" applyFont="1" applyFill="1" applyBorder="1" applyAlignment="1">
      <alignment horizontal="center" vertical="center" wrapText="1"/>
    </xf>
    <xf numFmtId="0" fontId="11" fillId="11" borderId="27" xfId="3" applyFont="1" applyFill="1" applyBorder="1" applyAlignment="1">
      <alignment horizontal="center" vertical="center" wrapText="1"/>
    </xf>
    <xf numFmtId="0" fontId="11" fillId="11" borderId="6" xfId="3" applyFont="1" applyFill="1" applyBorder="1" applyAlignment="1">
      <alignment horizontal="center" vertical="center" wrapText="1"/>
    </xf>
    <xf numFmtId="0" fontId="11" fillId="11" borderId="7" xfId="3" applyFont="1" applyFill="1" applyBorder="1" applyAlignment="1">
      <alignment horizontal="center" vertical="center" wrapText="1"/>
    </xf>
    <xf numFmtId="0" fontId="10" fillId="9" borderId="5" xfId="3" quotePrefix="1" applyFont="1" applyFill="1" applyBorder="1" applyAlignment="1">
      <alignment horizontal="left" vertical="center" wrapText="1"/>
    </xf>
    <xf numFmtId="0" fontId="10" fillId="9" borderId="27" xfId="3" quotePrefix="1" applyFont="1" applyFill="1" applyBorder="1" applyAlignment="1">
      <alignment horizontal="left" vertical="center" wrapText="1"/>
    </xf>
    <xf numFmtId="0" fontId="8" fillId="0" borderId="6" xfId="3" quotePrefix="1" applyFont="1" applyBorder="1" applyAlignment="1">
      <alignment horizontal="left" vertical="center"/>
    </xf>
    <xf numFmtId="0" fontId="10" fillId="9" borderId="6" xfId="3" quotePrefix="1" applyFont="1" applyFill="1" applyBorder="1" applyAlignment="1">
      <alignment horizontal="left" vertical="center" wrapText="1"/>
    </xf>
    <xf numFmtId="43" fontId="10" fillId="0" borderId="6" xfId="4" applyFont="1" applyBorder="1" applyAlignment="1">
      <alignment horizontal="left" vertical="center"/>
    </xf>
    <xf numFmtId="0" fontId="8" fillId="0" borderId="7" xfId="3" quotePrefix="1" applyFont="1" applyBorder="1" applyAlignment="1">
      <alignment horizontal="left" vertical="center" wrapText="1"/>
    </xf>
    <xf numFmtId="43" fontId="10" fillId="11" borderId="31" xfId="4" applyFont="1" applyFill="1" applyBorder="1" applyAlignment="1">
      <alignment horizontal="left" vertical="center" wrapText="1"/>
    </xf>
    <xf numFmtId="0" fontId="10" fillId="11" borderId="32" xfId="3" applyFont="1" applyFill="1" applyBorder="1" applyAlignment="1">
      <alignment vertical="center" wrapText="1"/>
    </xf>
    <xf numFmtId="0" fontId="10" fillId="0" borderId="22" xfId="3" applyFont="1" applyBorder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43" fontId="10" fillId="0" borderId="0" xfId="4" applyFont="1" applyFill="1" applyBorder="1" applyAlignment="1">
      <alignment horizontal="left" vertical="center" wrapText="1"/>
    </xf>
    <xf numFmtId="0" fontId="10" fillId="9" borderId="23" xfId="3" applyFont="1" applyFill="1" applyBorder="1" applyAlignment="1">
      <alignment vertical="center" wrapText="1"/>
    </xf>
    <xf numFmtId="0" fontId="10" fillId="0" borderId="33" xfId="3" applyFont="1" applyBorder="1" applyAlignment="1">
      <alignment horizontal="center" vertical="center" wrapText="1"/>
    </xf>
    <xf numFmtId="0" fontId="10" fillId="0" borderId="34" xfId="3" applyFont="1" applyBorder="1" applyAlignment="1">
      <alignment horizontal="center" vertical="center" wrapText="1"/>
    </xf>
    <xf numFmtId="43" fontId="10" fillId="0" borderId="34" xfId="3" applyNumberFormat="1" applyFont="1" applyBorder="1" applyAlignment="1">
      <alignment horizontal="center" vertical="center" wrapText="1"/>
    </xf>
    <xf numFmtId="43" fontId="10" fillId="0" borderId="34" xfId="4" applyFont="1" applyFill="1" applyBorder="1" applyAlignment="1">
      <alignment horizontal="left" vertical="center" wrapText="1"/>
    </xf>
    <xf numFmtId="0" fontId="10" fillId="9" borderId="35" xfId="3" applyFont="1" applyFill="1" applyBorder="1" applyAlignment="1">
      <alignment vertical="center" wrapText="1"/>
    </xf>
    <xf numFmtId="0" fontId="10" fillId="9" borderId="22" xfId="3" applyFont="1" applyFill="1" applyBorder="1" applyAlignment="1">
      <alignment vertical="center" wrapText="1"/>
    </xf>
    <xf numFmtId="0" fontId="10" fillId="9" borderId="0" xfId="3" applyFont="1" applyFill="1" applyAlignment="1">
      <alignment vertical="center" wrapText="1"/>
    </xf>
    <xf numFmtId="0" fontId="10" fillId="0" borderId="22" xfId="3" applyFont="1" applyBorder="1" applyAlignment="1">
      <alignment vertical="center"/>
    </xf>
    <xf numFmtId="0" fontId="10" fillId="0" borderId="0" xfId="3" applyFont="1" applyAlignment="1">
      <alignment vertical="center"/>
    </xf>
    <xf numFmtId="0" fontId="10" fillId="0" borderId="0" xfId="3" applyFont="1" applyAlignment="1">
      <alignment horizontal="center" vertical="center"/>
    </xf>
    <xf numFmtId="0" fontId="12" fillId="9" borderId="0" xfId="3" quotePrefix="1" applyFont="1" applyFill="1" applyAlignment="1">
      <alignment horizontal="left" vertical="center"/>
    </xf>
    <xf numFmtId="0" fontId="12" fillId="9" borderId="0" xfId="3" quotePrefix="1" applyFont="1" applyFill="1" applyAlignment="1">
      <alignment horizontal="left" vertical="center" wrapText="1"/>
    </xf>
    <xf numFmtId="0" fontId="12" fillId="9" borderId="23" xfId="3" quotePrefix="1" applyFont="1" applyFill="1" applyBorder="1" applyAlignment="1">
      <alignment horizontal="left" vertical="center" wrapText="1"/>
    </xf>
    <xf numFmtId="0" fontId="10" fillId="9" borderId="22" xfId="3" applyFont="1" applyFill="1" applyBorder="1" applyAlignment="1">
      <alignment horizontal="center"/>
    </xf>
    <xf numFmtId="0" fontId="10" fillId="9" borderId="0" xfId="3" applyFont="1" applyFill="1" applyAlignment="1">
      <alignment horizontal="center"/>
    </xf>
    <xf numFmtId="0" fontId="11" fillId="9" borderId="23" xfId="3" applyFont="1" applyFill="1" applyBorder="1"/>
    <xf numFmtId="0" fontId="10" fillId="9" borderId="36" xfId="3" applyFont="1" applyFill="1" applyBorder="1"/>
    <xf numFmtId="0" fontId="10" fillId="9" borderId="37" xfId="3" applyFont="1" applyFill="1" applyBorder="1"/>
    <xf numFmtId="0" fontId="10" fillId="9" borderId="38" xfId="3" applyFont="1" applyFill="1" applyBorder="1"/>
    <xf numFmtId="0" fontId="8" fillId="0" borderId="6" xfId="3" applyFont="1" applyBorder="1" applyAlignment="1">
      <alignment horizontal="left" vertical="center"/>
    </xf>
    <xf numFmtId="43" fontId="8" fillId="0" borderId="0" xfId="3" applyNumberFormat="1" applyFont="1"/>
    <xf numFmtId="0" fontId="8" fillId="12" borderId="6" xfId="3" applyFont="1" applyFill="1" applyBorder="1"/>
    <xf numFmtId="0" fontId="8" fillId="12" borderId="40" xfId="3" applyFont="1" applyFill="1" applyBorder="1"/>
    <xf numFmtId="0" fontId="8" fillId="12" borderId="39" xfId="3" applyFont="1" applyFill="1" applyBorder="1"/>
    <xf numFmtId="0" fontId="8" fillId="0" borderId="6" xfId="3" applyFont="1" applyBorder="1"/>
    <xf numFmtId="0" fontId="8" fillId="0" borderId="40" xfId="3" applyFont="1" applyBorder="1"/>
    <xf numFmtId="0" fontId="8" fillId="0" borderId="39" xfId="3" applyFont="1" applyBorder="1"/>
    <xf numFmtId="0" fontId="8" fillId="12" borderId="6" xfId="3" quotePrefix="1" applyFont="1" applyFill="1" applyBorder="1"/>
    <xf numFmtId="0" fontId="8" fillId="0" borderId="41" xfId="3" applyFont="1" applyBorder="1"/>
    <xf numFmtId="0" fontId="8" fillId="12" borderId="41" xfId="3" applyFont="1" applyFill="1" applyBorder="1"/>
    <xf numFmtId="0" fontId="8" fillId="0" borderId="42" xfId="3" applyFont="1" applyBorder="1"/>
    <xf numFmtId="0" fontId="8" fillId="0" borderId="43" xfId="3" applyFont="1" applyBorder="1"/>
    <xf numFmtId="0" fontId="8" fillId="0" borderId="0" xfId="3" applyFont="1" applyAlignment="1">
      <alignment wrapText="1"/>
    </xf>
    <xf numFmtId="43" fontId="10" fillId="13" borderId="6" xfId="4" applyFont="1" applyFill="1" applyBorder="1" applyAlignment="1">
      <alignment horizontal="left" vertical="center"/>
    </xf>
    <xf numFmtId="0" fontId="8" fillId="13" borderId="7" xfId="3" quotePrefix="1" applyFont="1" applyFill="1" applyBorder="1" applyAlignment="1">
      <alignment horizontal="left" vertical="center" wrapText="1"/>
    </xf>
    <xf numFmtId="0" fontId="10" fillId="13" borderId="44" xfId="3" quotePrefix="1" applyFont="1" applyFill="1" applyBorder="1" applyAlignment="1">
      <alignment horizontal="center" vertical="center" wrapText="1"/>
    </xf>
    <xf numFmtId="0" fontId="10" fillId="13" borderId="45" xfId="3" quotePrefix="1" applyFont="1" applyFill="1" applyBorder="1" applyAlignment="1">
      <alignment horizontal="center" vertical="center" wrapText="1"/>
    </xf>
    <xf numFmtId="0" fontId="10" fillId="13" borderId="27" xfId="3" quotePrefix="1" applyFont="1" applyFill="1" applyBorder="1" applyAlignment="1">
      <alignment horizontal="center" vertical="center" wrapText="1"/>
    </xf>
    <xf numFmtId="0" fontId="11" fillId="9" borderId="0" xfId="3" applyFont="1" applyFill="1" applyAlignment="1">
      <alignment horizontal="center" wrapText="1"/>
    </xf>
    <xf numFmtId="0" fontId="10" fillId="0" borderId="0" xfId="3" applyFont="1" applyAlignment="1">
      <alignment horizontal="center"/>
    </xf>
    <xf numFmtId="0" fontId="10" fillId="0" borderId="23" xfId="3" applyFont="1" applyBorder="1" applyAlignment="1">
      <alignment horizontal="center"/>
    </xf>
    <xf numFmtId="0" fontId="10" fillId="10" borderId="24" xfId="3" applyFont="1" applyFill="1" applyBorder="1" applyAlignment="1">
      <alignment horizontal="center" vertical="center"/>
    </xf>
    <xf numFmtId="0" fontId="10" fillId="10" borderId="25" xfId="3" applyFont="1" applyFill="1" applyBorder="1" applyAlignment="1">
      <alignment horizontal="center" vertical="center"/>
    </xf>
    <xf numFmtId="0" fontId="10" fillId="10" borderId="26" xfId="3" applyFont="1" applyFill="1" applyBorder="1" applyAlignment="1">
      <alignment horizontal="center" vertical="center"/>
    </xf>
    <xf numFmtId="0" fontId="10" fillId="11" borderId="28" xfId="3" applyFont="1" applyFill="1" applyBorder="1" applyAlignment="1">
      <alignment horizontal="left" vertical="center" wrapText="1"/>
    </xf>
    <xf numFmtId="0" fontId="10" fillId="11" borderId="29" xfId="3" applyFont="1" applyFill="1" applyBorder="1" applyAlignment="1">
      <alignment horizontal="left" vertical="center" wrapText="1"/>
    </xf>
    <xf numFmtId="0" fontId="10" fillId="11" borderId="30" xfId="3" applyFont="1" applyFill="1" applyBorder="1" applyAlignment="1">
      <alignment horizontal="left" vertical="center" wrapText="1"/>
    </xf>
    <xf numFmtId="0" fontId="10" fillId="9" borderId="22" xfId="3" applyFont="1" applyFill="1" applyBorder="1" applyAlignment="1">
      <alignment horizontal="center"/>
    </xf>
    <xf numFmtId="0" fontId="10" fillId="9" borderId="0" xfId="3" applyFont="1" applyFill="1" applyAlignment="1">
      <alignment horizontal="center"/>
    </xf>
    <xf numFmtId="0" fontId="10" fillId="9" borderId="23" xfId="3" applyFont="1" applyFill="1" applyBorder="1" applyAlignment="1">
      <alignment horizontal="center"/>
    </xf>
    <xf numFmtId="0" fontId="12" fillId="9" borderId="0" xfId="3" applyFont="1" applyFill="1" applyAlignment="1">
      <alignment horizontal="center" vertical="center" wrapText="1"/>
    </xf>
    <xf numFmtId="0" fontId="12" fillId="9" borderId="23" xfId="3" applyFont="1" applyFill="1" applyBorder="1" applyAlignment="1">
      <alignment horizontal="center" vertical="center" wrapText="1"/>
    </xf>
    <xf numFmtId="0" fontId="10" fillId="9" borderId="22" xfId="3" applyFont="1" applyFill="1" applyBorder="1" applyAlignment="1">
      <alignment horizontal="left"/>
    </xf>
    <xf numFmtId="0" fontId="10" fillId="9" borderId="0" xfId="3" applyFont="1" applyFill="1" applyAlignment="1">
      <alignment horizontal="left"/>
    </xf>
    <xf numFmtId="0" fontId="10" fillId="11" borderId="28" xfId="3" applyFont="1" applyFill="1" applyBorder="1" applyAlignment="1">
      <alignment horizontal="center" vertical="center" wrapText="1"/>
    </xf>
    <xf numFmtId="0" fontId="10" fillId="11" borderId="29" xfId="3" applyFont="1" applyFill="1" applyBorder="1" applyAlignment="1">
      <alignment horizontal="center" vertical="center" wrapText="1"/>
    </xf>
    <xf numFmtId="0" fontId="10" fillId="11" borderId="30" xfId="3" applyFont="1" applyFill="1" applyBorder="1" applyAlignment="1">
      <alignment horizontal="center" vertical="center" wrapText="1"/>
    </xf>
    <xf numFmtId="0" fontId="13" fillId="9" borderId="0" xfId="3" applyFont="1" applyFill="1" applyAlignment="1">
      <alignment horizontal="right"/>
    </xf>
    <xf numFmtId="0" fontId="11" fillId="10" borderId="24" xfId="3" applyFont="1" applyFill="1" applyBorder="1" applyAlignment="1">
      <alignment horizontal="center" vertical="center"/>
    </xf>
    <xf numFmtId="0" fontId="11" fillId="10" borderId="25" xfId="3" applyFont="1" applyFill="1" applyBorder="1" applyAlignment="1">
      <alignment horizontal="center" vertical="center"/>
    </xf>
    <xf numFmtId="0" fontId="11" fillId="10" borderId="26" xfId="3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2" fillId="2" borderId="11" xfId="0" applyNumberFormat="1" applyFont="1" applyFill="1" applyBorder="1" applyAlignment="1" applyProtection="1">
      <alignment horizontal="center" vertical="center" wrapText="1"/>
    </xf>
    <xf numFmtId="0" fontId="2" fillId="2" borderId="12" xfId="0" applyNumberFormat="1" applyFont="1" applyFill="1" applyBorder="1" applyAlignment="1" applyProtection="1">
      <alignment horizontal="center" vertical="center" wrapText="1"/>
    </xf>
    <xf numFmtId="0" fontId="2" fillId="2" borderId="13" xfId="0" applyNumberFormat="1" applyFont="1" applyFill="1" applyBorder="1" applyAlignment="1" applyProtection="1">
      <alignment horizontal="center" vertical="center" wrapText="1"/>
    </xf>
    <xf numFmtId="0" fontId="2" fillId="2" borderId="14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5" xfId="0" applyNumberFormat="1" applyFont="1" applyFill="1" applyBorder="1" applyAlignment="1" applyProtection="1">
      <alignment horizontal="center" vertical="center" wrapText="1"/>
    </xf>
    <xf numFmtId="0" fontId="8" fillId="0" borderId="0" xfId="3" applyFont="1" applyFill="1"/>
    <xf numFmtId="0" fontId="8" fillId="0" borderId="39" xfId="2" applyFont="1" applyFill="1" applyBorder="1"/>
    <xf numFmtId="0" fontId="8" fillId="0" borderId="40" xfId="2" applyFont="1" applyFill="1" applyBorder="1"/>
    <xf numFmtId="0" fontId="8" fillId="0" borderId="6" xfId="3" applyFont="1" applyFill="1" applyBorder="1"/>
    <xf numFmtId="0" fontId="8" fillId="0" borderId="40" xfId="3" applyFont="1" applyFill="1" applyBorder="1"/>
    <xf numFmtId="0" fontId="8" fillId="0" borderId="39" xfId="3" applyFont="1" applyFill="1" applyBorder="1"/>
    <xf numFmtId="0" fontId="9" fillId="0" borderId="0" xfId="3" applyFont="1" applyFill="1"/>
  </cellXfs>
  <cellStyles count="5">
    <cellStyle name="40% - Accent2" xfId="2" builtinId="35"/>
    <cellStyle name="Comma" xfId="1" builtinId="3"/>
    <cellStyle name="Comma 2" xfId="4"/>
    <cellStyle name="Normal" xfId="0" builtinId="0"/>
    <cellStyle name="Normal 2" xf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232439</xdr:colOff>
      <xdr:row>3</xdr:row>
      <xdr:rowOff>45944</xdr:rowOff>
    </xdr:from>
    <xdr:to>
      <xdr:col>3</xdr:col>
      <xdr:colOff>1250243</xdr:colOff>
      <xdr:row>4</xdr:row>
      <xdr:rowOff>226917</xdr:rowOff>
    </xdr:to>
    <xdr:pic>
      <xdr:nvPicPr>
        <xdr:cNvPr id="2" name="Picture 3" descr="Zemen Logo 1">
          <a:extLst>
            <a:ext uri="{FF2B5EF4-FFF2-40B4-BE49-F238E27FC236}">
              <a16:creationId xmlns:a16="http://schemas.microsoft.com/office/drawing/2014/main" id="{F511ED00-E78B-4ABA-8100-F5ABE1C1C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89" y="731744"/>
          <a:ext cx="3265704" cy="495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232439</xdr:colOff>
      <xdr:row>29</xdr:row>
      <xdr:rowOff>45944</xdr:rowOff>
    </xdr:from>
    <xdr:to>
      <xdr:col>3</xdr:col>
      <xdr:colOff>1250243</xdr:colOff>
      <xdr:row>30</xdr:row>
      <xdr:rowOff>226917</xdr:rowOff>
    </xdr:to>
    <xdr:pic>
      <xdr:nvPicPr>
        <xdr:cNvPr id="3" name="Picture 2" descr="Zemen Logo 1">
          <a:extLst>
            <a:ext uri="{FF2B5EF4-FFF2-40B4-BE49-F238E27FC236}">
              <a16:creationId xmlns:a16="http://schemas.microsoft.com/office/drawing/2014/main" id="{D122076D-6E3F-4FB7-BEA3-B991ADF36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89" y="9018494"/>
          <a:ext cx="3265704" cy="457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232439</xdr:colOff>
      <xdr:row>138</xdr:row>
      <xdr:rowOff>45944</xdr:rowOff>
    </xdr:from>
    <xdr:to>
      <xdr:col>3</xdr:col>
      <xdr:colOff>1250243</xdr:colOff>
      <xdr:row>139</xdr:row>
      <xdr:rowOff>226917</xdr:rowOff>
    </xdr:to>
    <xdr:pic>
      <xdr:nvPicPr>
        <xdr:cNvPr id="4" name="Picture 3" descr="Zemen Logo 1">
          <a:extLst>
            <a:ext uri="{FF2B5EF4-FFF2-40B4-BE49-F238E27FC236}">
              <a16:creationId xmlns:a16="http://schemas.microsoft.com/office/drawing/2014/main" id="{AF0AEFC5-F754-4C5E-9D8C-F788052BC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89" y="49766444"/>
          <a:ext cx="3265704" cy="457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2.13\Finance%20Department\Ephrem%20&amp;%20Tamiru\1%20Tamiru%20Insurance\00%20T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2.13\Finance%20Department\Users\HIKA.TEREFE\Desktop\New%20All%20Ticke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miru.endeshaw/Downloads/Amortization_Report_5_2026%20(9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2.13\Finance%20Department\Users\tamiru.endeshaw\Desktop\Payment%20All%20(Autosaved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2.13\Finance%20Department\Users\tamiru.endeshaw\Desktop\Staff%20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miru.endeshaw/Desktop/Amortization%20Merry%20&amp;%20Tamiru/2%20Office%20Rent%20and%20ATM%20Schedule/New%20Offic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miru.endeshaw/Desktop/spellNumb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omon G Kidan Pay"/>
      <sheetName val="00 Tata"/>
      <sheetName val="Sheet1"/>
      <sheetName val="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el (6)"/>
      <sheetName val="Sheet5"/>
      <sheetName val="Scheduel (5)"/>
      <sheetName val="Sheet6"/>
      <sheetName val="Scheduel (13)"/>
      <sheetName val="Scheduel (12)"/>
      <sheetName val="Perdeim schedule"/>
      <sheetName val="Receivable"/>
      <sheetName val="Scheduel (9)"/>
      <sheetName val="Scheduel (8)"/>
      <sheetName val="Scheduel (10)"/>
      <sheetName val="Scheduel (7)"/>
      <sheetName val="Scheduel (15)"/>
      <sheetName val="Scheduel (16)"/>
      <sheetName val="Scheduel (14)"/>
      <sheetName val="Scheduel (11)"/>
      <sheetName val="Scheduel (3)"/>
      <sheetName val="Scheduel (3.5)"/>
      <sheetName val="Scheduel 15"/>
      <sheetName val="Scheduel (4)"/>
      <sheetName val="Petty Cash   "/>
      <sheetName val="Sheet8"/>
      <sheetName val="Petty Cash"/>
      <sheetName val="Petty Cash (3)"/>
      <sheetName val="Chart of Account"/>
      <sheetName val="Petty Cash (2)"/>
      <sheetName val="Scheduel"/>
      <sheetName val="Loan Amortization Schedule"/>
      <sheetName val="Sheet1"/>
      <sheetName val="Reversed"/>
      <sheetName val="Reversed (2)"/>
      <sheetName val="Reversed (3)"/>
      <sheetName val="Petty Cash Outling"/>
      <sheetName val="Replanishment"/>
      <sheetName val="Replenishment Legal"/>
      <sheetName val="CPO Control"/>
      <sheetName val="Fuel calculation"/>
      <sheetName val="Claim"/>
      <sheetName val="Sheet7"/>
      <sheetName val="Sheet4"/>
      <sheetName val="Perdiem"/>
      <sheetName val="Perdiem Ticket"/>
      <sheetName val="Advance"/>
      <sheetName val="Cash Indeminity"/>
      <sheetName val="USD"/>
      <sheetName val="Cash"/>
      <sheetName val="Reversal"/>
      <sheetName val="Sheet9"/>
      <sheetName val="Sheet10"/>
      <sheetName val="Motor and vehicle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">
          <cell r="A1" t="str">
            <v>Loan Amortization Schedule</v>
          </cell>
        </row>
        <row r="4">
          <cell r="B4" t="str">
            <v>Enter values</v>
          </cell>
          <cell r="H4" t="str">
            <v>Loan summary</v>
          </cell>
        </row>
        <row r="5">
          <cell r="C5" t="str">
            <v>Loan amount</v>
          </cell>
          <cell r="D5">
            <v>7000000</v>
          </cell>
          <cell r="I5" t="str">
            <v>Scheduled payment</v>
          </cell>
          <cell r="J5">
            <v>82010.299789481243</v>
          </cell>
        </row>
        <row r="6">
          <cell r="C6" t="str">
            <v>Annual interest rate</v>
          </cell>
          <cell r="D6">
            <v>0.13</v>
          </cell>
          <cell r="I6" t="str">
            <v>Scheduled number of payments</v>
          </cell>
          <cell r="J6">
            <v>240</v>
          </cell>
        </row>
        <row r="7">
          <cell r="C7" t="str">
            <v>Loan period in years</v>
          </cell>
          <cell r="D7">
            <v>20</v>
          </cell>
          <cell r="I7" t="str">
            <v>Actual number of payments</v>
          </cell>
          <cell r="J7">
            <v>240</v>
          </cell>
        </row>
        <row r="8">
          <cell r="C8" t="str">
            <v>Number of payments per year</v>
          </cell>
          <cell r="D8">
            <v>12</v>
          </cell>
          <cell r="I8" t="str">
            <v>Total early payments</v>
          </cell>
          <cell r="J8">
            <v>0</v>
          </cell>
        </row>
        <row r="9">
          <cell r="C9" t="str">
            <v>Start date of loan</v>
          </cell>
          <cell r="D9">
            <v>44313</v>
          </cell>
          <cell r="I9" t="str">
            <v>Total interest</v>
          </cell>
          <cell r="J9">
            <v>12682471.949475493</v>
          </cell>
        </row>
        <row r="10">
          <cell r="C10" t="str">
            <v>Optional extra payments</v>
          </cell>
        </row>
        <row r="12">
          <cell r="B12" t="str">
            <v>Lender name:</v>
          </cell>
        </row>
        <row r="16">
          <cell r="A16" t="str">
            <v>Pmt. No.</v>
          </cell>
          <cell r="B16" t="str">
            <v>Payment Date</v>
          </cell>
          <cell r="C16" t="str">
            <v>Beginning Balance</v>
          </cell>
          <cell r="D16" t="str">
            <v>Scheduled Payment</v>
          </cell>
          <cell r="E16" t="str">
            <v>Extra Payment</v>
          </cell>
          <cell r="F16" t="str">
            <v>Total Payment</v>
          </cell>
          <cell r="G16" t="str">
            <v>Principal</v>
          </cell>
          <cell r="H16" t="str">
            <v>Interest</v>
          </cell>
          <cell r="I16" t="str">
            <v>Ending Balance</v>
          </cell>
          <cell r="J16" t="str">
            <v>Cumulative Interest</v>
          </cell>
        </row>
        <row r="18">
          <cell r="A18">
            <v>1</v>
          </cell>
          <cell r="B18">
            <v>44343</v>
          </cell>
          <cell r="C18">
            <v>7000000</v>
          </cell>
          <cell r="D18">
            <v>82010.299789481243</v>
          </cell>
          <cell r="E18">
            <v>0</v>
          </cell>
          <cell r="F18">
            <v>82010.299789481243</v>
          </cell>
          <cell r="G18">
            <v>6176.9664561479003</v>
          </cell>
          <cell r="H18">
            <v>75833.333333333343</v>
          </cell>
          <cell r="I18">
            <v>6993823.0335438522</v>
          </cell>
          <cell r="J18">
            <v>75833.333333333343</v>
          </cell>
        </row>
        <row r="19">
          <cell r="A19">
            <v>2</v>
          </cell>
          <cell r="B19">
            <v>44374</v>
          </cell>
          <cell r="C19">
            <v>6993823.0335438522</v>
          </cell>
          <cell r="D19">
            <v>82010.299789481243</v>
          </cell>
          <cell r="E19">
            <v>0</v>
          </cell>
          <cell r="F19">
            <v>82010.299789481243</v>
          </cell>
          <cell r="G19">
            <v>6243.883592756174</v>
          </cell>
          <cell r="H19">
            <v>75766.416196725069</v>
          </cell>
          <cell r="I19">
            <v>6987579.1499510957</v>
          </cell>
          <cell r="J19">
            <v>151599.74953005841</v>
          </cell>
        </row>
        <row r="20">
          <cell r="A20">
            <v>3</v>
          </cell>
          <cell r="B20">
            <v>44404</v>
          </cell>
          <cell r="C20">
            <v>6987579.1499510957</v>
          </cell>
          <cell r="D20">
            <v>82010.299789481243</v>
          </cell>
          <cell r="E20">
            <v>0</v>
          </cell>
          <cell r="F20">
            <v>82010.299789481243</v>
          </cell>
          <cell r="G20">
            <v>6311.5256650110387</v>
          </cell>
          <cell r="H20">
            <v>75698.774124470205</v>
          </cell>
          <cell r="I20">
            <v>6981267.6242860844</v>
          </cell>
          <cell r="J20">
            <v>227298.5236545286</v>
          </cell>
        </row>
        <row r="21">
          <cell r="A21">
            <v>4</v>
          </cell>
          <cell r="B21">
            <v>44435</v>
          </cell>
          <cell r="C21">
            <v>6981267.6242860844</v>
          </cell>
          <cell r="D21">
            <v>82010.299789481243</v>
          </cell>
          <cell r="E21">
            <v>0</v>
          </cell>
          <cell r="F21">
            <v>82010.299789481243</v>
          </cell>
          <cell r="G21">
            <v>6379.9005263819854</v>
          </cell>
          <cell r="H21">
            <v>75630.399263099258</v>
          </cell>
          <cell r="I21">
            <v>6974887.7237597024</v>
          </cell>
          <cell r="J21">
            <v>302928.92291762785</v>
          </cell>
        </row>
        <row r="22">
          <cell r="A22">
            <v>5</v>
          </cell>
          <cell r="B22">
            <v>44466</v>
          </cell>
          <cell r="C22">
            <v>6974887.7237597024</v>
          </cell>
          <cell r="D22">
            <v>82010.299789481243</v>
          </cell>
          <cell r="E22">
            <v>0</v>
          </cell>
          <cell r="F22">
            <v>82010.299789481243</v>
          </cell>
          <cell r="G22">
            <v>6449.0161154178058</v>
          </cell>
          <cell r="H22">
            <v>75561.283674063438</v>
          </cell>
          <cell r="I22">
            <v>6968438.7076442847</v>
          </cell>
          <cell r="J22">
            <v>378490.2065916913</v>
          </cell>
        </row>
        <row r="23">
          <cell r="A23">
            <v>6</v>
          </cell>
          <cell r="B23">
            <v>44496</v>
          </cell>
          <cell r="C23">
            <v>6968438.7076442847</v>
          </cell>
          <cell r="D23">
            <v>82010.299789481243</v>
          </cell>
          <cell r="E23">
            <v>0</v>
          </cell>
          <cell r="F23">
            <v>82010.299789481243</v>
          </cell>
          <cell r="G23">
            <v>6518.8804566681647</v>
          </cell>
          <cell r="H23">
            <v>75491.419332813079</v>
          </cell>
          <cell r="I23">
            <v>6961919.8271876164</v>
          </cell>
          <cell r="J23">
            <v>453981.62592450436</v>
          </cell>
        </row>
        <row r="24">
          <cell r="A24">
            <v>7</v>
          </cell>
          <cell r="B24">
            <v>44527</v>
          </cell>
          <cell r="C24">
            <v>6961919.8271876164</v>
          </cell>
          <cell r="D24">
            <v>82010.299789481243</v>
          </cell>
          <cell r="E24">
            <v>0</v>
          </cell>
          <cell r="F24">
            <v>82010.299789481243</v>
          </cell>
          <cell r="G24">
            <v>6589.5016616154026</v>
          </cell>
          <cell r="H24">
            <v>75420.798127865841</v>
          </cell>
          <cell r="I24">
            <v>6955330.3255260009</v>
          </cell>
          <cell r="J24">
            <v>529402.42405237025</v>
          </cell>
        </row>
        <row r="25">
          <cell r="A25">
            <v>8</v>
          </cell>
          <cell r="B25">
            <v>44557</v>
          </cell>
          <cell r="C25">
            <v>6955330.3255260009</v>
          </cell>
          <cell r="D25">
            <v>82010.299789481243</v>
          </cell>
          <cell r="E25">
            <v>0</v>
          </cell>
          <cell r="F25">
            <v>82010.299789481243</v>
          </cell>
          <cell r="G25">
            <v>6660.887929616234</v>
          </cell>
          <cell r="H25">
            <v>75349.411859865009</v>
          </cell>
          <cell r="I25">
            <v>6948669.4375963844</v>
          </cell>
          <cell r="J25">
            <v>604751.83591223531</v>
          </cell>
        </row>
        <row r="26">
          <cell r="A26">
            <v>9</v>
          </cell>
          <cell r="B26">
            <v>44588</v>
          </cell>
          <cell r="C26">
            <v>6948669.4375963844</v>
          </cell>
          <cell r="D26">
            <v>82010.299789481243</v>
          </cell>
          <cell r="E26">
            <v>0</v>
          </cell>
          <cell r="F26">
            <v>82010.299789481243</v>
          </cell>
          <cell r="G26">
            <v>6733.0475488537486</v>
          </cell>
          <cell r="H26">
            <v>75277.252240627495</v>
          </cell>
          <cell r="I26">
            <v>6941936.3900475306</v>
          </cell>
          <cell r="J26">
            <v>680029.08815286285</v>
          </cell>
        </row>
        <row r="27">
          <cell r="A27">
            <v>10</v>
          </cell>
          <cell r="B27">
            <v>44619</v>
          </cell>
          <cell r="C27">
            <v>6941936.3900475306</v>
          </cell>
          <cell r="D27">
            <v>82010.299789481243</v>
          </cell>
          <cell r="E27">
            <v>0</v>
          </cell>
          <cell r="F27">
            <v>82010.299789481243</v>
          </cell>
          <cell r="G27">
            <v>6805.9888972996559</v>
          </cell>
          <cell r="H27">
            <v>75204.310892181587</v>
          </cell>
          <cell r="I27">
            <v>6935130.4011502312</v>
          </cell>
          <cell r="J27">
            <v>755233.39904504444</v>
          </cell>
        </row>
        <row r="28">
          <cell r="A28">
            <v>11</v>
          </cell>
          <cell r="B28">
            <v>44647</v>
          </cell>
          <cell r="C28">
            <v>6935130.4011502312</v>
          </cell>
          <cell r="D28">
            <v>82010.299789481243</v>
          </cell>
          <cell r="E28">
            <v>0</v>
          </cell>
          <cell r="F28">
            <v>82010.299789481243</v>
          </cell>
          <cell r="G28">
            <v>6879.720443687067</v>
          </cell>
          <cell r="H28">
            <v>75130.579345794176</v>
          </cell>
          <cell r="I28">
            <v>6928250.6807065438</v>
          </cell>
          <cell r="J28">
            <v>830363.9783908386</v>
          </cell>
        </row>
        <row r="29">
          <cell r="A29">
            <v>12</v>
          </cell>
          <cell r="B29">
            <v>44678</v>
          </cell>
          <cell r="C29">
            <v>6928250.6807065438</v>
          </cell>
          <cell r="D29">
            <v>82010.299789481243</v>
          </cell>
          <cell r="E29">
            <v>0</v>
          </cell>
          <cell r="F29">
            <v>82010.299789481243</v>
          </cell>
          <cell r="G29">
            <v>6954.2507484936796</v>
          </cell>
          <cell r="H29">
            <v>75056.049040987564</v>
          </cell>
          <cell r="I29">
            <v>6921296.4299580501</v>
          </cell>
          <cell r="J29">
            <v>905420.02743182611</v>
          </cell>
        </row>
        <row r="30">
          <cell r="A30">
            <v>13</v>
          </cell>
          <cell r="B30">
            <v>44708</v>
          </cell>
          <cell r="C30">
            <v>6921296.4299580501</v>
          </cell>
          <cell r="D30">
            <v>82010.299789481243</v>
          </cell>
          <cell r="E30">
            <v>0</v>
          </cell>
          <cell r="F30">
            <v>82010.299789481243</v>
          </cell>
          <cell r="G30">
            <v>7029.5884649357031</v>
          </cell>
          <cell r="H30">
            <v>74980.71132454554</v>
          </cell>
          <cell r="I30">
            <v>6914266.8414931148</v>
          </cell>
          <cell r="J30">
            <v>980400.73875637166</v>
          </cell>
        </row>
        <row r="31">
          <cell r="A31">
            <v>14</v>
          </cell>
          <cell r="B31">
            <v>44739</v>
          </cell>
          <cell r="C31">
            <v>6914266.8414931148</v>
          </cell>
          <cell r="D31">
            <v>82010.299789481243</v>
          </cell>
          <cell r="E31">
            <v>0</v>
          </cell>
          <cell r="F31">
            <v>82010.299789481243</v>
          </cell>
          <cell r="G31">
            <v>7105.7423399724939</v>
          </cell>
          <cell r="H31">
            <v>74904.557449508749</v>
          </cell>
          <cell r="I31">
            <v>6907161.0991531424</v>
          </cell>
          <cell r="J31">
            <v>1055305.2962058804</v>
          </cell>
        </row>
        <row r="32">
          <cell r="A32">
            <v>15</v>
          </cell>
          <cell r="B32">
            <v>44769</v>
          </cell>
          <cell r="C32">
            <v>6907161.0991531424</v>
          </cell>
          <cell r="D32">
            <v>82010.299789481243</v>
          </cell>
          <cell r="E32">
            <v>0</v>
          </cell>
          <cell r="F32">
            <v>82010.299789481243</v>
          </cell>
          <cell r="G32">
            <v>7182.7212153221917</v>
          </cell>
          <cell r="H32">
            <v>74827.578574159052</v>
          </cell>
          <cell r="I32">
            <v>6899978.3779378198</v>
          </cell>
          <cell r="J32">
            <v>1130132.8747800393</v>
          </cell>
        </row>
        <row r="33">
          <cell r="A33">
            <v>16</v>
          </cell>
          <cell r="B33">
            <v>44800</v>
          </cell>
          <cell r="C33">
            <v>6899978.3779378198</v>
          </cell>
          <cell r="D33">
            <v>82010.299789481243</v>
          </cell>
          <cell r="E33">
            <v>0</v>
          </cell>
          <cell r="F33">
            <v>82010.299789481243</v>
          </cell>
          <cell r="G33">
            <v>7260.5340284881968</v>
          </cell>
          <cell r="H33">
            <v>74749.765760993047</v>
          </cell>
          <cell r="I33">
            <v>6892717.8439093316</v>
          </cell>
          <cell r="J33">
            <v>1204882.6405410324</v>
          </cell>
        </row>
        <row r="34">
          <cell r="A34">
            <v>17</v>
          </cell>
          <cell r="B34">
            <v>44831</v>
          </cell>
          <cell r="C34">
            <v>6892717.8439093316</v>
          </cell>
          <cell r="D34">
            <v>82010.299789481243</v>
          </cell>
          <cell r="E34">
            <v>0</v>
          </cell>
          <cell r="F34">
            <v>82010.299789481243</v>
          </cell>
          <cell r="G34">
            <v>7339.1898137968237</v>
          </cell>
          <cell r="H34">
            <v>74671.10997568442</v>
          </cell>
          <cell r="I34">
            <v>6885378.6540955352</v>
          </cell>
          <cell r="J34">
            <v>1279553.7505167169</v>
          </cell>
        </row>
        <row r="35">
          <cell r="A35">
            <v>18</v>
          </cell>
          <cell r="B35">
            <v>44861</v>
          </cell>
          <cell r="C35">
            <v>6885378.6540955352</v>
          </cell>
          <cell r="D35">
            <v>82010.299789481243</v>
          </cell>
          <cell r="E35">
            <v>0</v>
          </cell>
          <cell r="F35">
            <v>82010.299789481243</v>
          </cell>
          <cell r="G35">
            <v>7418.6977034462761</v>
          </cell>
          <cell r="H35">
            <v>74591.602086034967</v>
          </cell>
          <cell r="I35">
            <v>6877959.9563920889</v>
          </cell>
          <cell r="J35">
            <v>1354145.3526027519</v>
          </cell>
        </row>
        <row r="36">
          <cell r="A36">
            <v>19</v>
          </cell>
          <cell r="B36">
            <v>44892</v>
          </cell>
          <cell r="C36">
            <v>6877959.9563920889</v>
          </cell>
          <cell r="D36">
            <v>82010.299789481243</v>
          </cell>
          <cell r="E36">
            <v>0</v>
          </cell>
          <cell r="F36">
            <v>82010.299789481243</v>
          </cell>
          <cell r="G36">
            <v>7499.0669285669428</v>
          </cell>
          <cell r="H36">
            <v>74511.232860914301</v>
          </cell>
          <cell r="I36">
            <v>6870460.8894635215</v>
          </cell>
          <cell r="J36">
            <v>1428656.5854636661</v>
          </cell>
        </row>
        <row r="37">
          <cell r="A37">
            <v>20</v>
          </cell>
          <cell r="B37">
            <v>44922</v>
          </cell>
          <cell r="C37">
            <v>6870460.8894635215</v>
          </cell>
          <cell r="D37">
            <v>82010.299789481243</v>
          </cell>
          <cell r="E37">
            <v>0</v>
          </cell>
          <cell r="F37">
            <v>82010.299789481243</v>
          </cell>
          <cell r="G37">
            <v>7580.3068202930881</v>
          </cell>
          <cell r="H37">
            <v>74429.992969188155</v>
          </cell>
          <cell r="I37">
            <v>6862880.5826432286</v>
          </cell>
          <cell r="J37">
            <v>1503086.5784328543</v>
          </cell>
        </row>
        <row r="38">
          <cell r="A38">
            <v>21</v>
          </cell>
          <cell r="B38">
            <v>44953</v>
          </cell>
          <cell r="C38">
            <v>6862880.5826432286</v>
          </cell>
          <cell r="D38">
            <v>82010.299789481243</v>
          </cell>
          <cell r="E38">
            <v>0</v>
          </cell>
          <cell r="F38">
            <v>82010.299789481243</v>
          </cell>
          <cell r="G38">
            <v>7662.4268108462711</v>
          </cell>
          <cell r="H38">
            <v>74347.872978634972</v>
          </cell>
          <cell r="I38">
            <v>6855218.1558323819</v>
          </cell>
          <cell r="J38">
            <v>1577434.4514114892</v>
          </cell>
        </row>
        <row r="39">
          <cell r="A39">
            <v>22</v>
          </cell>
          <cell r="B39">
            <v>44984</v>
          </cell>
          <cell r="C39">
            <v>6855218.1558323819</v>
          </cell>
          <cell r="D39">
            <v>82010.299789481243</v>
          </cell>
          <cell r="E39">
            <v>0</v>
          </cell>
          <cell r="F39">
            <v>82010.299789481243</v>
          </cell>
          <cell r="G39">
            <v>7745.4364346304355</v>
          </cell>
          <cell r="H39">
            <v>74264.863354850808</v>
          </cell>
          <cell r="I39">
            <v>6847472.7193977516</v>
          </cell>
          <cell r="J39">
            <v>1651699.31476634</v>
          </cell>
        </row>
        <row r="40">
          <cell r="A40">
            <v>23</v>
          </cell>
          <cell r="B40">
            <v>45012</v>
          </cell>
          <cell r="C40">
            <v>6847472.7193977516</v>
          </cell>
          <cell r="D40">
            <v>82010.299789481243</v>
          </cell>
          <cell r="E40">
            <v>0</v>
          </cell>
          <cell r="F40">
            <v>82010.299789481243</v>
          </cell>
          <cell r="G40">
            <v>7829.3453293389321</v>
          </cell>
          <cell r="H40">
            <v>74180.954460142311</v>
          </cell>
          <cell r="I40">
            <v>6839643.3740684129</v>
          </cell>
          <cell r="J40">
            <v>1725880.2692264824</v>
          </cell>
        </row>
        <row r="41">
          <cell r="A41">
            <v>24</v>
          </cell>
          <cell r="B41">
            <v>45043</v>
          </cell>
          <cell r="C41">
            <v>6839643.3740684129</v>
          </cell>
          <cell r="D41">
            <v>82010.299789481243</v>
          </cell>
          <cell r="E41">
            <v>0</v>
          </cell>
          <cell r="F41">
            <v>82010.299789481243</v>
          </cell>
          <cell r="G41">
            <v>7914.1632370734296</v>
          </cell>
          <cell r="H41">
            <v>74096.136552407814</v>
          </cell>
          <cell r="I41">
            <v>6831729.2108313395</v>
          </cell>
          <cell r="J41">
            <v>1799976.4057788902</v>
          </cell>
        </row>
        <row r="42">
          <cell r="A42">
            <v>25</v>
          </cell>
          <cell r="B42">
            <v>45073</v>
          </cell>
          <cell r="C42">
            <v>6831729.2108313395</v>
          </cell>
          <cell r="D42">
            <v>82010.299789481243</v>
          </cell>
          <cell r="E42">
            <v>0</v>
          </cell>
          <cell r="F42">
            <v>82010.299789481243</v>
          </cell>
          <cell r="G42">
            <v>7999.900005475065</v>
          </cell>
          <cell r="H42">
            <v>74010.399784006178</v>
          </cell>
          <cell r="I42">
            <v>6823729.3108258648</v>
          </cell>
          <cell r="J42">
            <v>1873986.8055628964</v>
          </cell>
        </row>
        <row r="43">
          <cell r="A43">
            <v>26</v>
          </cell>
          <cell r="B43">
            <v>45104</v>
          </cell>
          <cell r="C43">
            <v>6823729.3108258648</v>
          </cell>
          <cell r="D43">
            <v>82010.299789481243</v>
          </cell>
          <cell r="E43">
            <v>0</v>
          </cell>
          <cell r="F43">
            <v>82010.299789481243</v>
          </cell>
          <cell r="G43">
            <v>8086.5655888677138</v>
          </cell>
          <cell r="H43">
            <v>73923.73420061353</v>
          </cell>
          <cell r="I43">
            <v>6815642.7452369975</v>
          </cell>
          <cell r="J43">
            <v>1947910.53976351</v>
          </cell>
        </row>
        <row r="44">
          <cell r="A44">
            <v>27</v>
          </cell>
          <cell r="B44">
            <v>45134</v>
          </cell>
          <cell r="C44">
            <v>6815642.7452369975</v>
          </cell>
          <cell r="D44">
            <v>82010.299789481243</v>
          </cell>
          <cell r="E44">
            <v>0</v>
          </cell>
          <cell r="F44">
            <v>82010.299789481243</v>
          </cell>
          <cell r="G44">
            <v>8174.1700494137622</v>
          </cell>
          <cell r="H44">
            <v>73836.129740067481</v>
          </cell>
          <cell r="I44">
            <v>6807468.5751875835</v>
          </cell>
          <cell r="J44">
            <v>2021746.6695035775</v>
          </cell>
        </row>
        <row r="45">
          <cell r="A45">
            <v>28</v>
          </cell>
          <cell r="B45">
            <v>45165</v>
          </cell>
          <cell r="C45">
            <v>6807468.5751875835</v>
          </cell>
          <cell r="D45">
            <v>82010.299789481243</v>
          </cell>
          <cell r="E45">
            <v>0</v>
          </cell>
          <cell r="F45">
            <v>82010.299789481243</v>
          </cell>
          <cell r="G45">
            <v>8262.7235582824214</v>
          </cell>
          <cell r="H45">
            <v>73747.576231198822</v>
          </cell>
          <cell r="I45">
            <v>6799205.851629301</v>
          </cell>
          <cell r="J45">
            <v>2095494.2457347764</v>
          </cell>
        </row>
        <row r="46">
          <cell r="A46">
            <v>29</v>
          </cell>
          <cell r="B46">
            <v>45196</v>
          </cell>
          <cell r="C46">
            <v>6799205.851629301</v>
          </cell>
          <cell r="D46">
            <v>82010.299789481243</v>
          </cell>
          <cell r="E46">
            <v>0</v>
          </cell>
          <cell r="F46">
            <v>82010.299789481243</v>
          </cell>
          <cell r="G46">
            <v>8352.2363968304853</v>
          </cell>
          <cell r="H46">
            <v>73658.063392650758</v>
          </cell>
          <cell r="I46">
            <v>6790853.6152324704</v>
          </cell>
          <cell r="J46">
            <v>2169152.3091274272</v>
          </cell>
        </row>
        <row r="47">
          <cell r="A47">
            <v>30</v>
          </cell>
          <cell r="B47">
            <v>45226</v>
          </cell>
          <cell r="C47">
            <v>6790853.6152324704</v>
          </cell>
          <cell r="D47">
            <v>82010.299789481243</v>
          </cell>
          <cell r="E47">
            <v>0</v>
          </cell>
          <cell r="F47">
            <v>82010.299789481243</v>
          </cell>
          <cell r="G47">
            <v>8442.7189577961399</v>
          </cell>
          <cell r="H47">
            <v>73567.580831685103</v>
          </cell>
          <cell r="I47">
            <v>6782410.8962746747</v>
          </cell>
          <cell r="J47">
            <v>2242719.8899591123</v>
          </cell>
        </row>
        <row r="48">
          <cell r="A48">
            <v>31</v>
          </cell>
          <cell r="B48">
            <v>45257</v>
          </cell>
          <cell r="C48">
            <v>6782410.8962746747</v>
          </cell>
          <cell r="D48">
            <v>82010.299789481243</v>
          </cell>
          <cell r="E48">
            <v>0</v>
          </cell>
          <cell r="F48">
            <v>82010.299789481243</v>
          </cell>
          <cell r="G48">
            <v>8534.1817465055938</v>
          </cell>
          <cell r="H48">
            <v>73476.11804297565</v>
          </cell>
          <cell r="I48">
            <v>6773876.7145281695</v>
          </cell>
          <cell r="J48">
            <v>2316196.0080020879</v>
          </cell>
        </row>
        <row r="49">
          <cell r="A49">
            <v>32</v>
          </cell>
          <cell r="B49">
            <v>45287</v>
          </cell>
          <cell r="C49">
            <v>6773876.7145281695</v>
          </cell>
          <cell r="D49">
            <v>82010.299789481243</v>
          </cell>
          <cell r="E49">
            <v>0</v>
          </cell>
          <cell r="F49">
            <v>82010.299789481243</v>
          </cell>
          <cell r="G49">
            <v>8626.635382092747</v>
          </cell>
          <cell r="H49">
            <v>73383.664407388496</v>
          </cell>
          <cell r="I49">
            <v>6765250.0791460769</v>
          </cell>
          <cell r="J49">
            <v>2389579.6724094762</v>
          </cell>
        </row>
        <row r="50">
          <cell r="A50">
            <v>33</v>
          </cell>
          <cell r="B50">
            <v>45318</v>
          </cell>
          <cell r="C50">
            <v>6765250.0791460769</v>
          </cell>
          <cell r="D50">
            <v>82010.299789481243</v>
          </cell>
          <cell r="E50">
            <v>0</v>
          </cell>
          <cell r="F50">
            <v>82010.299789481243</v>
          </cell>
          <cell r="G50">
            <v>8720.090598732073</v>
          </cell>
          <cell r="H50">
            <v>73290.20919074917</v>
          </cell>
          <cell r="I50">
            <v>6756529.9885473447</v>
          </cell>
          <cell r="J50">
            <v>2462869.8816002253</v>
          </cell>
        </row>
        <row r="51">
          <cell r="A51">
            <v>34</v>
          </cell>
          <cell r="B51">
            <v>45349</v>
          </cell>
          <cell r="C51">
            <v>6756529.9885473447</v>
          </cell>
          <cell r="D51">
            <v>82010.299789481243</v>
          </cell>
          <cell r="E51">
            <v>0</v>
          </cell>
          <cell r="F51">
            <v>82010.299789481243</v>
          </cell>
          <cell r="G51">
            <v>8814.5582468850043</v>
          </cell>
          <cell r="H51">
            <v>73195.741542596239</v>
          </cell>
          <cell r="I51">
            <v>6747715.4303004593</v>
          </cell>
          <cell r="J51">
            <v>2536065.6231428217</v>
          </cell>
        </row>
        <row r="52">
          <cell r="A52">
            <v>35</v>
          </cell>
          <cell r="B52">
            <v>45378</v>
          </cell>
          <cell r="C52">
            <v>6747715.4303004593</v>
          </cell>
          <cell r="D52">
            <v>82010.299789481243</v>
          </cell>
          <cell r="E52">
            <v>0</v>
          </cell>
          <cell r="F52">
            <v>82010.299789481243</v>
          </cell>
          <cell r="G52">
            <v>8910.0492945595906</v>
          </cell>
          <cell r="H52">
            <v>73100.250494921653</v>
          </cell>
          <cell r="I52">
            <v>6738805.3810059</v>
          </cell>
          <cell r="J52">
            <v>2609165.8736377433</v>
          </cell>
        </row>
        <row r="53">
          <cell r="A53">
            <v>36</v>
          </cell>
          <cell r="B53">
            <v>45409</v>
          </cell>
          <cell r="C53">
            <v>6738805.3810059</v>
          </cell>
          <cell r="D53">
            <v>82010.299789481243</v>
          </cell>
          <cell r="E53">
            <v>0</v>
          </cell>
          <cell r="F53">
            <v>82010.299789481243</v>
          </cell>
          <cell r="G53">
            <v>9006.5748285839945</v>
          </cell>
          <cell r="H53">
            <v>73003.724960897249</v>
          </cell>
          <cell r="I53">
            <v>6729798.8061773162</v>
          </cell>
          <cell r="J53">
            <v>2682169.5985986404</v>
          </cell>
        </row>
        <row r="54">
          <cell r="A54">
            <v>37</v>
          </cell>
          <cell r="B54">
            <v>45439</v>
          </cell>
          <cell r="C54">
            <v>6729798.8061773162</v>
          </cell>
          <cell r="D54">
            <v>82010.299789481243</v>
          </cell>
          <cell r="E54">
            <v>0</v>
          </cell>
          <cell r="F54">
            <v>82010.299789481243</v>
          </cell>
          <cell r="G54">
            <v>9104.1460558936524</v>
          </cell>
          <cell r="H54">
            <v>72906.153733587591</v>
          </cell>
          <cell r="I54">
            <v>6720694.6601214223</v>
          </cell>
          <cell r="J54">
            <v>2755075.7523322282</v>
          </cell>
        </row>
        <row r="55">
          <cell r="A55">
            <v>38</v>
          </cell>
          <cell r="B55">
            <v>45470</v>
          </cell>
          <cell r="C55">
            <v>6720694.6601214223</v>
          </cell>
          <cell r="D55">
            <v>82010.299789481243</v>
          </cell>
          <cell r="E55">
            <v>0</v>
          </cell>
          <cell r="F55">
            <v>82010.299789481243</v>
          </cell>
          <cell r="G55">
            <v>9202.7743048324919</v>
          </cell>
          <cell r="H55">
            <v>72807.525484648751</v>
          </cell>
          <cell r="I55">
            <v>6711491.8858165899</v>
          </cell>
          <cell r="J55">
            <v>2827883.2778168768</v>
          </cell>
        </row>
        <row r="56">
          <cell r="A56">
            <v>39</v>
          </cell>
          <cell r="B56">
            <v>45500</v>
          </cell>
          <cell r="C56">
            <v>6711491.8858165899</v>
          </cell>
          <cell r="D56">
            <v>82010.299789481243</v>
          </cell>
          <cell r="E56">
            <v>0</v>
          </cell>
          <cell r="F56">
            <v>82010.299789481243</v>
          </cell>
          <cell r="G56">
            <v>9302.4710264681926</v>
          </cell>
          <cell r="H56">
            <v>72707.828763013051</v>
          </cell>
          <cell r="I56">
            <v>6702189.4147901218</v>
          </cell>
          <cell r="J56">
            <v>2900591.10657989</v>
          </cell>
        </row>
        <row r="57">
          <cell r="A57">
            <v>40</v>
          </cell>
          <cell r="B57">
            <v>45531</v>
          </cell>
          <cell r="C57">
            <v>6702189.4147901218</v>
          </cell>
          <cell r="D57">
            <v>82010.299789481243</v>
          </cell>
          <cell r="E57">
            <v>0</v>
          </cell>
          <cell r="F57">
            <v>82010.299789481243</v>
          </cell>
          <cell r="G57">
            <v>9403.2477959215903</v>
          </cell>
          <cell r="H57">
            <v>72607.051993559653</v>
          </cell>
          <cell r="I57">
            <v>6692786.1669942001</v>
          </cell>
          <cell r="J57">
            <v>2973198.1585734496</v>
          </cell>
        </row>
        <row r="58">
          <cell r="A58">
            <v>41</v>
          </cell>
          <cell r="B58">
            <v>45562</v>
          </cell>
          <cell r="C58">
            <v>6692786.1669942001</v>
          </cell>
          <cell r="D58">
            <v>82010.299789481243</v>
          </cell>
          <cell r="E58">
            <v>0</v>
          </cell>
          <cell r="F58">
            <v>82010.299789481243</v>
          </cell>
          <cell r="G58">
            <v>9505.116313710736</v>
          </cell>
          <cell r="H58">
            <v>72505.183475770507</v>
          </cell>
          <cell r="I58">
            <v>6683281.0506804893</v>
          </cell>
          <cell r="J58">
            <v>3045703.3420492201</v>
          </cell>
        </row>
        <row r="59">
          <cell r="A59">
            <v>42</v>
          </cell>
          <cell r="B59">
            <v>45592</v>
          </cell>
          <cell r="C59">
            <v>6683281.0506804893</v>
          </cell>
          <cell r="D59">
            <v>82010.299789481243</v>
          </cell>
          <cell r="E59">
            <v>0</v>
          </cell>
          <cell r="F59">
            <v>82010.299789481243</v>
          </cell>
          <cell r="G59">
            <v>9608.0884071092732</v>
          </cell>
          <cell r="H59">
            <v>72402.21138237197</v>
          </cell>
          <cell r="I59">
            <v>6673672.9622733798</v>
          </cell>
          <cell r="J59">
            <v>3118105.553431592</v>
          </cell>
        </row>
        <row r="60">
          <cell r="A60">
            <v>43</v>
          </cell>
          <cell r="B60">
            <v>45623</v>
          </cell>
          <cell r="C60">
            <v>6673672.9622733798</v>
          </cell>
          <cell r="D60">
            <v>82010.299789481243</v>
          </cell>
          <cell r="E60">
            <v>0</v>
          </cell>
          <cell r="F60">
            <v>82010.299789481243</v>
          </cell>
          <cell r="G60">
            <v>9712.1760315196298</v>
          </cell>
          <cell r="H60">
            <v>72298.123757961614</v>
          </cell>
          <cell r="I60">
            <v>6663960.7862418601</v>
          </cell>
          <cell r="J60">
            <v>3190403.6771895536</v>
          </cell>
        </row>
        <row r="61">
          <cell r="A61">
            <v>44</v>
          </cell>
          <cell r="B61">
            <v>45653</v>
          </cell>
          <cell r="C61">
            <v>6663960.7862418601</v>
          </cell>
          <cell r="D61">
            <v>82010.299789481243</v>
          </cell>
          <cell r="E61">
            <v>0</v>
          </cell>
          <cell r="F61">
            <v>82010.299789481243</v>
          </cell>
          <cell r="G61">
            <v>9817.3912718610809</v>
          </cell>
          <cell r="H61">
            <v>72192.908517620162</v>
          </cell>
          <cell r="I61">
            <v>6654143.3949699989</v>
          </cell>
          <cell r="J61">
            <v>3262596.5857071737</v>
          </cell>
        </row>
        <row r="62">
          <cell r="A62">
            <v>45</v>
          </cell>
          <cell r="B62">
            <v>45684</v>
          </cell>
          <cell r="C62">
            <v>6654143.3949699989</v>
          </cell>
          <cell r="D62">
            <v>82010.299789481243</v>
          </cell>
          <cell r="E62">
            <v>0</v>
          </cell>
          <cell r="F62">
            <v>82010.299789481243</v>
          </cell>
          <cell r="G62">
            <v>9923.7463439729181</v>
          </cell>
          <cell r="H62">
            <v>72086.553445508325</v>
          </cell>
          <cell r="I62">
            <v>6644219.6486260258</v>
          </cell>
          <cell r="J62">
            <v>3334683.1391526819</v>
          </cell>
        </row>
        <row r="63">
          <cell r="A63">
            <v>46</v>
          </cell>
          <cell r="B63">
            <v>45715</v>
          </cell>
          <cell r="C63">
            <v>6644219.6486260258</v>
          </cell>
          <cell r="D63">
            <v>82010.299789481243</v>
          </cell>
          <cell r="E63">
            <v>0</v>
          </cell>
          <cell r="F63">
            <v>82010.299789481243</v>
          </cell>
          <cell r="G63">
            <v>10031.253596032635</v>
          </cell>
          <cell r="H63">
            <v>71979.046193448608</v>
          </cell>
          <cell r="I63">
            <v>6634188.3950299928</v>
          </cell>
          <cell r="J63">
            <v>3406662.1853461307</v>
          </cell>
        </row>
        <row r="64">
          <cell r="A64">
            <v>47</v>
          </cell>
          <cell r="B64">
            <v>45743</v>
          </cell>
          <cell r="C64">
            <v>6634188.3950299928</v>
          </cell>
          <cell r="D64">
            <v>82010.299789481243</v>
          </cell>
          <cell r="E64">
            <v>0</v>
          </cell>
          <cell r="F64">
            <v>82010.299789481243</v>
          </cell>
          <cell r="G64">
            <v>10139.925509989655</v>
          </cell>
          <cell r="H64">
            <v>71870.374279491589</v>
          </cell>
          <cell r="I64">
            <v>6624048.4695200035</v>
          </cell>
          <cell r="J64">
            <v>3478532.5596256224</v>
          </cell>
        </row>
        <row r="65">
          <cell r="A65">
            <v>48</v>
          </cell>
          <cell r="B65">
            <v>45774</v>
          </cell>
          <cell r="C65">
            <v>6624048.4695200035</v>
          </cell>
          <cell r="D65">
            <v>82010.299789481243</v>
          </cell>
          <cell r="E65">
            <v>0</v>
          </cell>
          <cell r="F65">
            <v>82010.299789481243</v>
          </cell>
          <cell r="G65">
            <v>10249.77470301454</v>
          </cell>
          <cell r="H65">
            <v>71760.525086466703</v>
          </cell>
          <cell r="I65">
            <v>6613798.6948169889</v>
          </cell>
          <cell r="J65">
            <v>3550293.084712089</v>
          </cell>
        </row>
        <row r="66">
          <cell r="A66">
            <v>49</v>
          </cell>
          <cell r="B66">
            <v>45804</v>
          </cell>
          <cell r="C66">
            <v>6613798.6948169889</v>
          </cell>
          <cell r="D66">
            <v>82010.299789481243</v>
          </cell>
          <cell r="E66">
            <v>0</v>
          </cell>
          <cell r="F66">
            <v>82010.299789481243</v>
          </cell>
          <cell r="G66">
            <v>10360.813928963864</v>
          </cell>
          <cell r="H66">
            <v>71649.485860517379</v>
          </cell>
          <cell r="I66">
            <v>6603437.8808880253</v>
          </cell>
          <cell r="J66">
            <v>3621942.5705726063</v>
          </cell>
        </row>
        <row r="67">
          <cell r="A67">
            <v>50</v>
          </cell>
          <cell r="B67">
            <v>45835</v>
          </cell>
          <cell r="C67">
            <v>6603437.8808880253</v>
          </cell>
          <cell r="D67">
            <v>82010.299789481243</v>
          </cell>
          <cell r="E67">
            <v>0</v>
          </cell>
          <cell r="F67">
            <v>82010.299789481243</v>
          </cell>
          <cell r="G67">
            <v>10473.056079860966</v>
          </cell>
          <cell r="H67">
            <v>71537.243709620278</v>
          </cell>
          <cell r="I67">
            <v>6592964.8248081645</v>
          </cell>
          <cell r="J67">
            <v>3693479.8142822264</v>
          </cell>
        </row>
        <row r="68">
          <cell r="A68">
            <v>51</v>
          </cell>
          <cell r="B68">
            <v>45865</v>
          </cell>
          <cell r="C68">
            <v>6592964.8248081645</v>
          </cell>
          <cell r="D68">
            <v>82010.299789481243</v>
          </cell>
          <cell r="E68">
            <v>0</v>
          </cell>
          <cell r="F68">
            <v>82010.299789481243</v>
          </cell>
          <cell r="G68">
            <v>10586.514187392793</v>
          </cell>
          <cell r="H68">
            <v>71423.78560208845</v>
          </cell>
          <cell r="I68">
            <v>6582378.3106207717</v>
          </cell>
          <cell r="J68">
            <v>3764903.5998843149</v>
          </cell>
        </row>
        <row r="69">
          <cell r="A69">
            <v>52</v>
          </cell>
          <cell r="B69">
            <v>45896</v>
          </cell>
          <cell r="C69">
            <v>6582378.3106207717</v>
          </cell>
          <cell r="D69">
            <v>82010.299789481243</v>
          </cell>
          <cell r="E69">
            <v>0</v>
          </cell>
          <cell r="F69">
            <v>82010.299789481243</v>
          </cell>
          <cell r="G69">
            <v>10701.201424422878</v>
          </cell>
          <cell r="H69">
            <v>71309.098365058366</v>
          </cell>
          <cell r="I69">
            <v>6571677.109196349</v>
          </cell>
          <cell r="J69">
            <v>3836212.6982493731</v>
          </cell>
        </row>
        <row r="70">
          <cell r="A70">
            <v>53</v>
          </cell>
          <cell r="B70">
            <v>45927</v>
          </cell>
          <cell r="C70">
            <v>6571677.109196349</v>
          </cell>
          <cell r="D70">
            <v>82010.299789481243</v>
          </cell>
          <cell r="E70">
            <v>0</v>
          </cell>
          <cell r="F70">
            <v>82010.299789481243</v>
          </cell>
          <cell r="G70">
            <v>10817.131106520785</v>
          </cell>
          <cell r="H70">
            <v>71193.168682960459</v>
          </cell>
          <cell r="I70">
            <v>6560859.978089828</v>
          </cell>
          <cell r="J70">
            <v>3907405.8669323334</v>
          </cell>
        </row>
        <row r="71">
          <cell r="A71">
            <v>54</v>
          </cell>
          <cell r="B71">
            <v>45957</v>
          </cell>
          <cell r="C71">
            <v>6560859.978089828</v>
          </cell>
          <cell r="D71">
            <v>82010.299789481243</v>
          </cell>
          <cell r="E71">
            <v>0</v>
          </cell>
          <cell r="F71">
            <v>82010.299789481243</v>
          </cell>
          <cell r="G71">
            <v>10934.31669350811</v>
          </cell>
          <cell r="H71">
            <v>71075.983095973133</v>
          </cell>
          <cell r="I71">
            <v>6549925.66139632</v>
          </cell>
          <cell r="J71">
            <v>3978481.8500283067</v>
          </cell>
        </row>
        <row r="72">
          <cell r="A72">
            <v>55</v>
          </cell>
          <cell r="B72">
            <v>45988</v>
          </cell>
          <cell r="C72">
            <v>6549925.66139632</v>
          </cell>
          <cell r="D72">
            <v>82010.299789481243</v>
          </cell>
          <cell r="E72">
            <v>0</v>
          </cell>
          <cell r="F72">
            <v>82010.299789481243</v>
          </cell>
          <cell r="G72">
            <v>11052.771791021107</v>
          </cell>
          <cell r="H72">
            <v>70957.527998460137</v>
          </cell>
          <cell r="I72">
            <v>6538872.8896052986</v>
          </cell>
          <cell r="J72">
            <v>4049439.3780267667</v>
          </cell>
        </row>
        <row r="73">
          <cell r="A73">
            <v>56</v>
          </cell>
          <cell r="B73">
            <v>46018</v>
          </cell>
          <cell r="C73">
            <v>6538872.8896052986</v>
          </cell>
          <cell r="D73">
            <v>82010.299789481243</v>
          </cell>
          <cell r="E73">
            <v>0</v>
          </cell>
          <cell r="F73">
            <v>82010.299789481243</v>
          </cell>
          <cell r="G73">
            <v>11172.510152090501</v>
          </cell>
          <cell r="H73">
            <v>70837.789637390742</v>
          </cell>
          <cell r="I73">
            <v>6527700.3794532083</v>
          </cell>
          <cell r="J73">
            <v>4120277.1676641572</v>
          </cell>
        </row>
        <row r="74">
          <cell r="A74">
            <v>57</v>
          </cell>
          <cell r="B74">
            <v>46049</v>
          </cell>
          <cell r="C74">
            <v>6527700.3794532083</v>
          </cell>
          <cell r="D74">
            <v>82010.299789481243</v>
          </cell>
          <cell r="E74">
            <v>0</v>
          </cell>
          <cell r="F74">
            <v>82010.299789481243</v>
          </cell>
          <cell r="G74">
            <v>11293.545678738155</v>
          </cell>
          <cell r="H74">
            <v>70716.754110743088</v>
          </cell>
          <cell r="I74">
            <v>6516406.8337744698</v>
          </cell>
          <cell r="J74">
            <v>4190993.9217749005</v>
          </cell>
        </row>
        <row r="75">
          <cell r="A75">
            <v>58</v>
          </cell>
          <cell r="B75">
            <v>46080</v>
          </cell>
          <cell r="C75">
            <v>6516406.8337744698</v>
          </cell>
          <cell r="D75">
            <v>82010.299789481243</v>
          </cell>
          <cell r="E75">
            <v>0</v>
          </cell>
          <cell r="F75">
            <v>82010.299789481243</v>
          </cell>
          <cell r="G75">
            <v>11415.892423591155</v>
          </cell>
          <cell r="H75">
            <v>70594.407365890089</v>
          </cell>
          <cell r="I75">
            <v>6504990.9413508782</v>
          </cell>
          <cell r="J75">
            <v>4261588.3291407907</v>
          </cell>
        </row>
        <row r="76">
          <cell r="A76">
            <v>59</v>
          </cell>
          <cell r="B76">
            <v>46108</v>
          </cell>
          <cell r="C76">
            <v>6504990.9413508782</v>
          </cell>
          <cell r="D76">
            <v>82010.299789481243</v>
          </cell>
          <cell r="E76">
            <v>0</v>
          </cell>
          <cell r="F76">
            <v>82010.299789481243</v>
          </cell>
          <cell r="G76">
            <v>11539.564591513394</v>
          </cell>
          <cell r="H76">
            <v>70470.73519796785</v>
          </cell>
          <cell r="I76">
            <v>6493451.3767593652</v>
          </cell>
          <cell r="J76">
            <v>4332059.0643387586</v>
          </cell>
        </row>
        <row r="77">
          <cell r="A77">
            <v>60</v>
          </cell>
          <cell r="B77">
            <v>46139</v>
          </cell>
          <cell r="C77">
            <v>6493451.3767593652</v>
          </cell>
          <cell r="D77">
            <v>82010.299789481243</v>
          </cell>
          <cell r="E77">
            <v>0</v>
          </cell>
          <cell r="F77">
            <v>82010.299789481243</v>
          </cell>
          <cell r="G77">
            <v>11664.576541254777</v>
          </cell>
          <cell r="H77">
            <v>70345.723248226466</v>
          </cell>
          <cell r="I77">
            <v>6481786.80021811</v>
          </cell>
          <cell r="J77">
            <v>4402404.7875869852</v>
          </cell>
        </row>
        <row r="78">
          <cell r="A78">
            <v>61</v>
          </cell>
          <cell r="B78">
            <v>46169</v>
          </cell>
          <cell r="C78">
            <v>6481786.80021811</v>
          </cell>
          <cell r="D78">
            <v>82010.299789481243</v>
          </cell>
          <cell r="E78">
            <v>0</v>
          </cell>
          <cell r="F78">
            <v>82010.299789481243</v>
          </cell>
          <cell r="G78">
            <v>11790.942787118387</v>
          </cell>
          <cell r="H78">
            <v>70219.357002362856</v>
          </cell>
          <cell r="I78">
            <v>6469995.8574309917</v>
          </cell>
          <cell r="J78">
            <v>4472624.1445893478</v>
          </cell>
        </row>
        <row r="79">
          <cell r="A79">
            <v>62</v>
          </cell>
          <cell r="B79">
            <v>46200</v>
          </cell>
          <cell r="C79">
            <v>6469995.8574309917</v>
          </cell>
          <cell r="D79">
            <v>82010.299789481243</v>
          </cell>
          <cell r="E79">
            <v>0</v>
          </cell>
          <cell r="F79">
            <v>82010.299789481243</v>
          </cell>
          <cell r="G79">
            <v>11918.678000645494</v>
          </cell>
          <cell r="H79">
            <v>70091.62178883575</v>
          </cell>
          <cell r="I79">
            <v>6458077.179430346</v>
          </cell>
          <cell r="J79">
            <v>4542715.7663781838</v>
          </cell>
        </row>
        <row r="80">
          <cell r="A80">
            <v>63</v>
          </cell>
          <cell r="B80">
            <v>46230</v>
          </cell>
          <cell r="C80">
            <v>6458077.179430346</v>
          </cell>
          <cell r="D80">
            <v>82010.299789481243</v>
          </cell>
          <cell r="E80">
            <v>0</v>
          </cell>
          <cell r="F80">
            <v>82010.299789481243</v>
          </cell>
          <cell r="G80">
            <v>12047.797012319163</v>
          </cell>
          <cell r="H80">
            <v>69962.502777162081</v>
          </cell>
          <cell r="I80">
            <v>6446029.3824180271</v>
          </cell>
          <cell r="J80">
            <v>4612678.2691553459</v>
          </cell>
        </row>
        <row r="81">
          <cell r="A81">
            <v>64</v>
          </cell>
          <cell r="B81">
            <v>46261</v>
          </cell>
          <cell r="C81">
            <v>6446029.3824180271</v>
          </cell>
          <cell r="D81">
            <v>82010.299789481243</v>
          </cell>
          <cell r="E81">
            <v>0</v>
          </cell>
          <cell r="F81">
            <v>82010.299789481243</v>
          </cell>
          <cell r="G81">
            <v>12178.31481328595</v>
          </cell>
          <cell r="H81">
            <v>69831.984976195294</v>
          </cell>
          <cell r="I81">
            <v>6433851.0676047411</v>
          </cell>
          <cell r="J81">
            <v>4682510.2541315416</v>
          </cell>
        </row>
        <row r="82">
          <cell r="A82">
            <v>65</v>
          </cell>
          <cell r="B82">
            <v>46292</v>
          </cell>
          <cell r="C82">
            <v>6433851.0676047411</v>
          </cell>
          <cell r="D82">
            <v>82010.299789481243</v>
          </cell>
          <cell r="E82">
            <v>0</v>
          </cell>
          <cell r="F82">
            <v>82010.299789481243</v>
          </cell>
          <cell r="G82">
            <v>12310.246557096543</v>
          </cell>
          <cell r="H82">
            <v>69700.0532323847</v>
          </cell>
          <cell r="I82">
            <v>6421540.8210476441</v>
          </cell>
          <cell r="J82">
            <v>4752210.3073639264</v>
          </cell>
        </row>
        <row r="83">
          <cell r="A83">
            <v>66</v>
          </cell>
          <cell r="B83">
            <v>46322</v>
          </cell>
          <cell r="C83">
            <v>6421540.8210476441</v>
          </cell>
          <cell r="D83">
            <v>82010.299789481243</v>
          </cell>
          <cell r="E83">
            <v>0</v>
          </cell>
          <cell r="F83">
            <v>82010.299789481243</v>
          </cell>
          <cell r="G83">
            <v>12443.607561465105</v>
          </cell>
          <cell r="H83">
            <v>69566.692228016138</v>
          </cell>
          <cell r="I83">
            <v>6409097.2134861788</v>
          </cell>
          <cell r="J83">
            <v>4821776.9995919429</v>
          </cell>
        </row>
        <row r="84">
          <cell r="A84">
            <v>67</v>
          </cell>
          <cell r="B84">
            <v>46353</v>
          </cell>
          <cell r="C84">
            <v>6409097.2134861788</v>
          </cell>
          <cell r="D84">
            <v>82010.299789481243</v>
          </cell>
          <cell r="E84">
            <v>0</v>
          </cell>
          <cell r="F84">
            <v>82010.299789481243</v>
          </cell>
          <cell r="G84">
            <v>12578.413310047632</v>
          </cell>
          <cell r="H84">
            <v>69431.886479433611</v>
          </cell>
          <cell r="I84">
            <v>6396518.8001761315</v>
          </cell>
          <cell r="J84">
            <v>4891208.8860713765</v>
          </cell>
        </row>
        <row r="85">
          <cell r="A85">
            <v>68</v>
          </cell>
          <cell r="B85">
            <v>46383</v>
          </cell>
          <cell r="C85">
            <v>6396518.8001761315</v>
          </cell>
          <cell r="D85">
            <v>82010.299789481243</v>
          </cell>
          <cell r="E85">
            <v>0</v>
          </cell>
          <cell r="F85">
            <v>82010.299789481243</v>
          </cell>
          <cell r="G85">
            <v>12714.679454239813</v>
          </cell>
          <cell r="H85">
            <v>69295.62033524143</v>
          </cell>
          <cell r="I85">
            <v>6383804.1207218915</v>
          </cell>
          <cell r="J85">
            <v>4960504.5064066183</v>
          </cell>
        </row>
        <row r="86">
          <cell r="A86">
            <v>69</v>
          </cell>
          <cell r="B86">
            <v>46414</v>
          </cell>
          <cell r="C86">
            <v>6383804.1207218915</v>
          </cell>
          <cell r="D86">
            <v>82010.299789481243</v>
          </cell>
          <cell r="E86">
            <v>0</v>
          </cell>
          <cell r="F86">
            <v>82010.299789481243</v>
          </cell>
          <cell r="G86">
            <v>12852.421814994086</v>
          </cell>
          <cell r="H86">
            <v>69157.877974487157</v>
          </cell>
          <cell r="I86">
            <v>6370951.6989068976</v>
          </cell>
          <cell r="J86">
            <v>5029662.3843811052</v>
          </cell>
        </row>
        <row r="87">
          <cell r="A87">
            <v>70</v>
          </cell>
          <cell r="B87">
            <v>46445</v>
          </cell>
          <cell r="C87">
            <v>6370951.6989068976</v>
          </cell>
          <cell r="D87">
            <v>82010.299789481243</v>
          </cell>
          <cell r="E87">
            <v>0</v>
          </cell>
          <cell r="F87">
            <v>82010.299789481243</v>
          </cell>
          <cell r="G87">
            <v>12991.656384656511</v>
          </cell>
          <cell r="H87">
            <v>69018.643404824732</v>
          </cell>
          <cell r="I87">
            <v>6357960.0425222414</v>
          </cell>
          <cell r="J87">
            <v>5098681.0277859299</v>
          </cell>
        </row>
        <row r="88">
          <cell r="A88">
            <v>71</v>
          </cell>
          <cell r="B88">
            <v>46473</v>
          </cell>
          <cell r="C88">
            <v>6357960.0425222414</v>
          </cell>
          <cell r="D88">
            <v>82010.299789481243</v>
          </cell>
          <cell r="E88">
            <v>0</v>
          </cell>
          <cell r="F88">
            <v>82010.299789481243</v>
          </cell>
          <cell r="G88">
            <v>13132.399328823623</v>
          </cell>
          <cell r="H88">
            <v>68877.90046065762</v>
          </cell>
          <cell r="I88">
            <v>6344827.6431934182</v>
          </cell>
          <cell r="J88">
            <v>5167558.9282465875</v>
          </cell>
        </row>
        <row r="89">
          <cell r="A89">
            <v>72</v>
          </cell>
          <cell r="B89">
            <v>46504</v>
          </cell>
          <cell r="C89">
            <v>6344827.6431934182</v>
          </cell>
          <cell r="D89">
            <v>82010.299789481243</v>
          </cell>
          <cell r="E89">
            <v>0</v>
          </cell>
          <cell r="F89">
            <v>82010.299789481243</v>
          </cell>
          <cell r="G89">
            <v>13274.666988219207</v>
          </cell>
          <cell r="H89">
            <v>68735.632801262036</v>
          </cell>
          <cell r="I89">
            <v>6331552.976205199</v>
          </cell>
          <cell r="J89">
            <v>5236294.5610478492</v>
          </cell>
        </row>
        <row r="90">
          <cell r="A90">
            <v>73</v>
          </cell>
          <cell r="B90">
            <v>46534</v>
          </cell>
          <cell r="C90">
            <v>6331552.976205199</v>
          </cell>
          <cell r="D90">
            <v>82010.299789481243</v>
          </cell>
          <cell r="E90">
            <v>0</v>
          </cell>
          <cell r="F90">
            <v>82010.299789481243</v>
          </cell>
          <cell r="G90">
            <v>13418.475880591592</v>
          </cell>
          <cell r="H90">
            <v>68591.823908889652</v>
          </cell>
          <cell r="I90">
            <v>6318134.5003246078</v>
          </cell>
          <cell r="J90">
            <v>5304886.3849567389</v>
          </cell>
        </row>
        <row r="91">
          <cell r="A91">
            <v>74</v>
          </cell>
          <cell r="B91">
            <v>46565</v>
          </cell>
          <cell r="C91">
            <v>6318134.5003246078</v>
          </cell>
          <cell r="D91">
            <v>82010.299789481243</v>
          </cell>
          <cell r="E91">
            <v>0</v>
          </cell>
          <cell r="F91">
            <v>82010.299789481243</v>
          </cell>
          <cell r="G91">
            <v>13563.842702631329</v>
          </cell>
          <cell r="H91">
            <v>68446.457086849914</v>
          </cell>
          <cell r="I91">
            <v>6304570.6576219769</v>
          </cell>
          <cell r="J91">
            <v>5373332.8420435889</v>
          </cell>
        </row>
        <row r="92">
          <cell r="A92">
            <v>75</v>
          </cell>
          <cell r="B92">
            <v>46595</v>
          </cell>
          <cell r="C92">
            <v>6304570.6576219769</v>
          </cell>
          <cell r="D92">
            <v>82010.299789481243</v>
          </cell>
          <cell r="E92">
            <v>0</v>
          </cell>
          <cell r="F92">
            <v>82010.299789481243</v>
          </cell>
          <cell r="G92">
            <v>13710.784331909832</v>
          </cell>
          <cell r="H92">
            <v>68299.515457571411</v>
          </cell>
          <cell r="I92">
            <v>6290859.8732900675</v>
          </cell>
          <cell r="J92">
            <v>5441632.3575011604</v>
          </cell>
        </row>
        <row r="93">
          <cell r="A93">
            <v>76</v>
          </cell>
          <cell r="B93">
            <v>46626</v>
          </cell>
          <cell r="C93">
            <v>6290859.8732900675</v>
          </cell>
          <cell r="D93">
            <v>82010.299789481243</v>
          </cell>
          <cell r="E93">
            <v>0</v>
          </cell>
          <cell r="F93">
            <v>82010.299789481243</v>
          </cell>
          <cell r="G93">
            <v>13859.317828838844</v>
          </cell>
          <cell r="H93">
            <v>68150.981960642399</v>
          </cell>
          <cell r="I93">
            <v>6277000.5554612288</v>
          </cell>
          <cell r="J93">
            <v>5509783.3394618025</v>
          </cell>
        </row>
        <row r="94">
          <cell r="A94">
            <v>77</v>
          </cell>
          <cell r="B94">
            <v>46657</v>
          </cell>
          <cell r="C94">
            <v>6277000.5554612288</v>
          </cell>
          <cell r="D94">
            <v>82010.299789481243</v>
          </cell>
          <cell r="E94">
            <v>0</v>
          </cell>
          <cell r="F94">
            <v>82010.299789481243</v>
          </cell>
          <cell r="G94">
            <v>14009.460438651266</v>
          </cell>
          <cell r="H94">
            <v>68000.839350829978</v>
          </cell>
          <cell r="I94">
            <v>6262991.0950225778</v>
          </cell>
          <cell r="J94">
            <v>5577784.1788126323</v>
          </cell>
        </row>
        <row r="95">
          <cell r="A95">
            <v>78</v>
          </cell>
          <cell r="B95">
            <v>46687</v>
          </cell>
          <cell r="C95">
            <v>6262991.0950225778</v>
          </cell>
          <cell r="D95">
            <v>82010.299789481243</v>
          </cell>
          <cell r="E95">
            <v>0</v>
          </cell>
          <cell r="F95">
            <v>82010.299789481243</v>
          </cell>
          <cell r="G95">
            <v>14161.229593403317</v>
          </cell>
          <cell r="H95">
            <v>67849.070196077926</v>
          </cell>
          <cell r="I95">
            <v>6248829.8654291742</v>
          </cell>
          <cell r="J95">
            <v>5645633.2490087105</v>
          </cell>
        </row>
        <row r="96">
          <cell r="A96">
            <v>79</v>
          </cell>
          <cell r="B96">
            <v>46718</v>
          </cell>
          <cell r="C96">
            <v>6248829.8654291742</v>
          </cell>
          <cell r="D96">
            <v>82010.299789481243</v>
          </cell>
          <cell r="E96">
            <v>0</v>
          </cell>
          <cell r="F96">
            <v>82010.299789481243</v>
          </cell>
          <cell r="G96">
            <v>14314.642913998527</v>
          </cell>
          <cell r="H96">
            <v>67695.656875482717</v>
          </cell>
          <cell r="I96">
            <v>6234515.2225151761</v>
          </cell>
          <cell r="J96">
            <v>5713328.9058841933</v>
          </cell>
        </row>
        <row r="97">
          <cell r="A97">
            <v>80</v>
          </cell>
          <cell r="B97">
            <v>46748</v>
          </cell>
          <cell r="C97">
            <v>6234515.2225151761</v>
          </cell>
          <cell r="D97">
            <v>82010.299789481243</v>
          </cell>
          <cell r="E97">
            <v>0</v>
          </cell>
          <cell r="F97">
            <v>82010.299789481243</v>
          </cell>
          <cell r="G97">
            <v>14469.718212233493</v>
          </cell>
          <cell r="H97">
            <v>67540.581577247751</v>
          </cell>
          <cell r="I97">
            <v>6220045.5043029422</v>
          </cell>
          <cell r="J97">
            <v>5780869.4874614412</v>
          </cell>
        </row>
        <row r="98">
          <cell r="A98">
            <v>81</v>
          </cell>
          <cell r="B98">
            <v>46779</v>
          </cell>
          <cell r="C98">
            <v>6220045.5043029422</v>
          </cell>
          <cell r="D98">
            <v>82010.299789481243</v>
          </cell>
          <cell r="E98">
            <v>0</v>
          </cell>
          <cell r="F98">
            <v>82010.299789481243</v>
          </cell>
          <cell r="G98">
            <v>14626.473492866033</v>
          </cell>
          <cell r="H98">
            <v>67383.826296615211</v>
          </cell>
          <cell r="I98">
            <v>6205419.0308100758</v>
          </cell>
          <cell r="J98">
            <v>5848253.3137580566</v>
          </cell>
        </row>
        <row r="99">
          <cell r="A99">
            <v>82</v>
          </cell>
          <cell r="B99">
            <v>46810</v>
          </cell>
          <cell r="C99">
            <v>6205419.0308100758</v>
          </cell>
          <cell r="D99">
            <v>82010.299789481243</v>
          </cell>
          <cell r="E99">
            <v>0</v>
          </cell>
          <cell r="F99">
            <v>82010.299789481243</v>
          </cell>
          <cell r="G99">
            <v>14784.926955705421</v>
          </cell>
          <cell r="H99">
            <v>67225.372833775822</v>
          </cell>
          <cell r="I99">
            <v>6190634.1038543703</v>
          </cell>
          <cell r="J99">
            <v>5915478.686591832</v>
          </cell>
        </row>
        <row r="100">
          <cell r="A100">
            <v>83</v>
          </cell>
          <cell r="B100">
            <v>46839</v>
          </cell>
          <cell r="C100">
            <v>6190634.1038543703</v>
          </cell>
          <cell r="D100">
            <v>82010.299789481243</v>
          </cell>
          <cell r="E100">
            <v>0</v>
          </cell>
          <cell r="F100">
            <v>82010.299789481243</v>
          </cell>
          <cell r="G100">
            <v>14945.096997725559</v>
          </cell>
          <cell r="H100">
            <v>67065.202791755684</v>
          </cell>
          <cell r="I100">
            <v>6175689.0068566445</v>
          </cell>
          <cell r="J100">
            <v>5982543.889383588</v>
          </cell>
        </row>
        <row r="101">
          <cell r="A101">
            <v>84</v>
          </cell>
          <cell r="B101">
            <v>46870</v>
          </cell>
          <cell r="C101">
            <v>6175689.0068566445</v>
          </cell>
          <cell r="D101">
            <v>82010.299789481243</v>
          </cell>
          <cell r="E101">
            <v>0</v>
          </cell>
          <cell r="F101">
            <v>82010.299789481243</v>
          </cell>
          <cell r="G101">
            <v>15107.002215200933</v>
          </cell>
          <cell r="H101">
            <v>66903.29757428031</v>
          </cell>
          <cell r="I101">
            <v>6160582.0046414435</v>
          </cell>
          <cell r="J101">
            <v>6049447.1869578687</v>
          </cell>
        </row>
        <row r="102">
          <cell r="A102">
            <v>85</v>
          </cell>
          <cell r="B102">
            <v>46900</v>
          </cell>
          <cell r="C102">
            <v>6160582.0046414435</v>
          </cell>
          <cell r="D102">
            <v>82010.299789481243</v>
          </cell>
          <cell r="E102">
            <v>0</v>
          </cell>
          <cell r="F102">
            <v>82010.299789481243</v>
          </cell>
          <cell r="G102">
            <v>15270.661405865612</v>
          </cell>
          <cell r="H102">
            <v>66739.638383615631</v>
          </cell>
          <cell r="I102">
            <v>6145311.3432355775</v>
          </cell>
          <cell r="J102">
            <v>6116186.8253414845</v>
          </cell>
        </row>
        <row r="103">
          <cell r="A103">
            <v>86</v>
          </cell>
          <cell r="B103">
            <v>46931</v>
          </cell>
          <cell r="C103">
            <v>6145311.3432355775</v>
          </cell>
          <cell r="D103">
            <v>82010.299789481243</v>
          </cell>
          <cell r="E103">
            <v>0</v>
          </cell>
          <cell r="F103">
            <v>82010.299789481243</v>
          </cell>
          <cell r="G103">
            <v>15436.093571095815</v>
          </cell>
          <cell r="H103">
            <v>66574.206218385429</v>
          </cell>
          <cell r="I103">
            <v>6129875.2496644817</v>
          </cell>
          <cell r="J103">
            <v>6182761.0315598696</v>
          </cell>
        </row>
        <row r="104">
          <cell r="A104">
            <v>87</v>
          </cell>
          <cell r="B104">
            <v>46961</v>
          </cell>
          <cell r="C104">
            <v>6129875.2496644817</v>
          </cell>
          <cell r="D104">
            <v>82010.299789481243</v>
          </cell>
          <cell r="E104">
            <v>0</v>
          </cell>
          <cell r="F104">
            <v>82010.299789481243</v>
          </cell>
          <cell r="G104">
            <v>15603.317918116023</v>
          </cell>
          <cell r="H104">
            <v>66406.98187136522</v>
          </cell>
          <cell r="I104">
            <v>6114271.9317463655</v>
          </cell>
          <cell r="J104">
            <v>6249168.0134312352</v>
          </cell>
        </row>
        <row r="105">
          <cell r="A105">
            <v>88</v>
          </cell>
          <cell r="B105">
            <v>46992</v>
          </cell>
          <cell r="C105">
            <v>6114271.9317463655</v>
          </cell>
          <cell r="D105">
            <v>82010.299789481243</v>
          </cell>
          <cell r="E105">
            <v>0</v>
          </cell>
          <cell r="F105">
            <v>82010.299789481243</v>
          </cell>
          <cell r="G105">
            <v>15772.353862228949</v>
          </cell>
          <cell r="H105">
            <v>66237.945927252294</v>
          </cell>
          <cell r="I105">
            <v>6098499.5778841367</v>
          </cell>
          <cell r="J105">
            <v>6315405.9593584873</v>
          </cell>
        </row>
        <row r="106">
          <cell r="A106">
            <v>89</v>
          </cell>
          <cell r="B106">
            <v>47023</v>
          </cell>
          <cell r="C106">
            <v>6098499.5778841367</v>
          </cell>
          <cell r="D106">
            <v>82010.299789481243</v>
          </cell>
          <cell r="E106">
            <v>0</v>
          </cell>
          <cell r="F106">
            <v>82010.299789481243</v>
          </cell>
          <cell r="G106">
            <v>15943.221029069755</v>
          </cell>
          <cell r="H106">
            <v>66067.078760411488</v>
          </cell>
          <cell r="I106">
            <v>6082556.3568550665</v>
          </cell>
          <cell r="J106">
            <v>6381473.0381188989</v>
          </cell>
        </row>
        <row r="107">
          <cell r="A107">
            <v>90</v>
          </cell>
          <cell r="B107">
            <v>47053</v>
          </cell>
          <cell r="C107">
            <v>6082556.3568550665</v>
          </cell>
          <cell r="D107">
            <v>82010.299789481243</v>
          </cell>
          <cell r="E107">
            <v>0</v>
          </cell>
          <cell r="F107">
            <v>82010.299789481243</v>
          </cell>
          <cell r="G107">
            <v>16115.939256884696</v>
          </cell>
          <cell r="H107">
            <v>65894.360532596547</v>
          </cell>
          <cell r="I107">
            <v>6066440.4175981814</v>
          </cell>
          <cell r="J107">
            <v>6447367.3986514956</v>
          </cell>
        </row>
        <row r="108">
          <cell r="A108">
            <v>91</v>
          </cell>
          <cell r="B108">
            <v>47084</v>
          </cell>
          <cell r="C108">
            <v>6066440.4175981814</v>
          </cell>
          <cell r="D108">
            <v>82010.299789481243</v>
          </cell>
          <cell r="E108">
            <v>0</v>
          </cell>
          <cell r="F108">
            <v>82010.299789481243</v>
          </cell>
          <cell r="G108">
            <v>16290.52859883428</v>
          </cell>
          <cell r="H108">
            <v>65719.771190646963</v>
          </cell>
          <cell r="I108">
            <v>6050149.8889993476</v>
          </cell>
          <cell r="J108">
            <v>6513087.1698421426</v>
          </cell>
        </row>
        <row r="109">
          <cell r="A109">
            <v>92</v>
          </cell>
          <cell r="B109">
            <v>47114</v>
          </cell>
          <cell r="C109">
            <v>6050149.8889993476</v>
          </cell>
          <cell r="D109">
            <v>82010.299789481243</v>
          </cell>
          <cell r="E109">
            <v>0</v>
          </cell>
          <cell r="F109">
            <v>82010.299789481243</v>
          </cell>
          <cell r="G109">
            <v>16467.009325321633</v>
          </cell>
          <cell r="H109">
            <v>65543.290464159611</v>
          </cell>
          <cell r="I109">
            <v>6033682.8796740258</v>
          </cell>
          <cell r="J109">
            <v>6578630.4603063026</v>
          </cell>
        </row>
        <row r="110">
          <cell r="A110">
            <v>93</v>
          </cell>
          <cell r="B110">
            <v>47145</v>
          </cell>
          <cell r="C110">
            <v>6033682.8796740258</v>
          </cell>
          <cell r="D110">
            <v>82010.299789481243</v>
          </cell>
          <cell r="E110">
            <v>0</v>
          </cell>
          <cell r="F110">
            <v>82010.299789481243</v>
          </cell>
          <cell r="G110">
            <v>16645.401926345956</v>
          </cell>
          <cell r="H110">
            <v>65364.897863135287</v>
          </cell>
          <cell r="I110">
            <v>6017037.4777476797</v>
          </cell>
          <cell r="J110">
            <v>6643995.3581694383</v>
          </cell>
        </row>
        <row r="111">
          <cell r="A111">
            <v>94</v>
          </cell>
          <cell r="B111">
            <v>47176</v>
          </cell>
          <cell r="C111">
            <v>6017037.4777476797</v>
          </cell>
          <cell r="D111">
            <v>82010.299789481243</v>
          </cell>
          <cell r="E111">
            <v>0</v>
          </cell>
          <cell r="F111">
            <v>82010.299789481243</v>
          </cell>
          <cell r="G111">
            <v>16825.727113881381</v>
          </cell>
          <cell r="H111">
            <v>65184.572675599862</v>
          </cell>
          <cell r="I111">
            <v>6000211.7506337985</v>
          </cell>
          <cell r="J111">
            <v>6709179.930845038</v>
          </cell>
        </row>
        <row r="112">
          <cell r="A112">
            <v>95</v>
          </cell>
          <cell r="B112">
            <v>47204</v>
          </cell>
          <cell r="C112">
            <v>6000211.7506337985</v>
          </cell>
          <cell r="D112">
            <v>82010.299789481243</v>
          </cell>
          <cell r="E112">
            <v>0</v>
          </cell>
          <cell r="F112">
            <v>82010.299789481243</v>
          </cell>
          <cell r="G112">
            <v>17008.005824281754</v>
          </cell>
          <cell r="H112">
            <v>65002.293965199489</v>
          </cell>
          <cell r="I112">
            <v>5983203.7448095167</v>
          </cell>
          <cell r="J112">
            <v>6774182.2248102371</v>
          </cell>
        </row>
        <row r="113">
          <cell r="A113">
            <v>96</v>
          </cell>
          <cell r="B113">
            <v>47235</v>
          </cell>
          <cell r="C113">
            <v>5983203.7448095167</v>
          </cell>
          <cell r="D113">
            <v>82010.299789481243</v>
          </cell>
          <cell r="E113">
            <v>0</v>
          </cell>
          <cell r="F113">
            <v>82010.299789481243</v>
          </cell>
          <cell r="G113">
            <v>17192.259220711479</v>
          </cell>
          <cell r="H113">
            <v>64818.040568769764</v>
          </cell>
          <cell r="I113">
            <v>5966011.4855888048</v>
          </cell>
          <cell r="J113">
            <v>6839000.265379007</v>
          </cell>
        </row>
        <row r="114">
          <cell r="A114">
            <v>97</v>
          </cell>
          <cell r="B114">
            <v>47265</v>
          </cell>
          <cell r="C114">
            <v>5966011.4855888048</v>
          </cell>
          <cell r="D114">
            <v>82010.299789481243</v>
          </cell>
          <cell r="E114">
            <v>0</v>
          </cell>
          <cell r="F114">
            <v>82010.299789481243</v>
          </cell>
          <cell r="G114">
            <v>17378.508695602526</v>
          </cell>
          <cell r="H114">
            <v>64631.791093878717</v>
          </cell>
          <cell r="I114">
            <v>5948632.9768932024</v>
          </cell>
          <cell r="J114">
            <v>6903632.0564728854</v>
          </cell>
        </row>
        <row r="115">
          <cell r="A115">
            <v>98</v>
          </cell>
          <cell r="B115">
            <v>47296</v>
          </cell>
          <cell r="C115">
            <v>5948632.9768932024</v>
          </cell>
          <cell r="D115">
            <v>82010.299789481243</v>
          </cell>
          <cell r="E115">
            <v>0</v>
          </cell>
          <cell r="F115">
            <v>82010.299789481243</v>
          </cell>
          <cell r="G115">
            <v>17566.775873138213</v>
          </cell>
          <cell r="H115">
            <v>64443.523916343031</v>
          </cell>
          <cell r="I115">
            <v>5931066.2010200638</v>
          </cell>
          <cell r="J115">
            <v>6968075.5803892286</v>
          </cell>
        </row>
        <row r="116">
          <cell r="A116">
            <v>99</v>
          </cell>
          <cell r="B116">
            <v>47326</v>
          </cell>
          <cell r="C116">
            <v>5931066.2010200638</v>
          </cell>
          <cell r="D116">
            <v>82010.299789481243</v>
          </cell>
          <cell r="E116">
            <v>0</v>
          </cell>
          <cell r="F116">
            <v>82010.299789481243</v>
          </cell>
          <cell r="G116">
            <v>17757.082611763879</v>
          </cell>
          <cell r="H116">
            <v>64253.217177717364</v>
          </cell>
          <cell r="I116">
            <v>5913309.1184083</v>
          </cell>
          <cell r="J116">
            <v>7032328.7975669457</v>
          </cell>
        </row>
        <row r="117">
          <cell r="A117">
            <v>100</v>
          </cell>
          <cell r="B117">
            <v>47357</v>
          </cell>
          <cell r="C117">
            <v>5913309.1184083</v>
          </cell>
          <cell r="D117">
            <v>82010.299789481243</v>
          </cell>
          <cell r="E117">
            <v>0</v>
          </cell>
          <cell r="F117">
            <v>82010.299789481243</v>
          </cell>
          <cell r="G117">
            <v>17949.451006724652</v>
          </cell>
          <cell r="H117">
            <v>64060.848782756591</v>
          </cell>
          <cell r="I117">
            <v>5895359.6674015755</v>
          </cell>
          <cell r="J117">
            <v>7096389.646349702</v>
          </cell>
        </row>
        <row r="118">
          <cell r="A118">
            <v>101</v>
          </cell>
          <cell r="B118">
            <v>47388</v>
          </cell>
          <cell r="C118">
            <v>5895359.6674015755</v>
          </cell>
          <cell r="D118">
            <v>82010.299789481243</v>
          </cell>
          <cell r="E118">
            <v>0</v>
          </cell>
          <cell r="F118">
            <v>82010.299789481243</v>
          </cell>
          <cell r="G118">
            <v>18143.90339263084</v>
          </cell>
          <cell r="H118">
            <v>63866.396396850403</v>
          </cell>
          <cell r="I118">
            <v>5877215.7640089449</v>
          </cell>
          <cell r="J118">
            <v>7160256.0427465523</v>
          </cell>
        </row>
        <row r="119">
          <cell r="A119">
            <v>102</v>
          </cell>
          <cell r="B119">
            <v>47418</v>
          </cell>
          <cell r="C119">
            <v>5877215.7640089449</v>
          </cell>
          <cell r="D119">
            <v>82010.299789481243</v>
          </cell>
          <cell r="E119">
            <v>0</v>
          </cell>
          <cell r="F119">
            <v>82010.299789481243</v>
          </cell>
          <cell r="G119">
            <v>18340.462346051005</v>
          </cell>
          <cell r="H119">
            <v>63669.837443430239</v>
          </cell>
          <cell r="I119">
            <v>5858875.301662894</v>
          </cell>
          <cell r="J119">
            <v>7223925.8801899822</v>
          </cell>
        </row>
        <row r="120">
          <cell r="A120">
            <v>103</v>
          </cell>
          <cell r="B120">
            <v>47449</v>
          </cell>
          <cell r="C120">
            <v>5858875.301662894</v>
          </cell>
          <cell r="D120">
            <v>82010.299789481243</v>
          </cell>
          <cell r="E120">
            <v>0</v>
          </cell>
          <cell r="F120">
            <v>82010.299789481243</v>
          </cell>
          <cell r="G120">
            <v>18539.150688133224</v>
          </cell>
          <cell r="H120">
            <v>63471.149101348019</v>
          </cell>
          <cell r="I120">
            <v>5840336.1509747608</v>
          </cell>
          <cell r="J120">
            <v>7287397.0292913299</v>
          </cell>
        </row>
        <row r="121">
          <cell r="A121">
            <v>104</v>
          </cell>
          <cell r="B121">
            <v>47479</v>
          </cell>
          <cell r="C121">
            <v>5840336.1509747608</v>
          </cell>
          <cell r="D121">
            <v>82010.299789481243</v>
          </cell>
          <cell r="E121">
            <v>0</v>
          </cell>
          <cell r="F121">
            <v>82010.299789481243</v>
          </cell>
          <cell r="G121">
            <v>18739.991487254672</v>
          </cell>
          <cell r="H121">
            <v>63270.308302226571</v>
          </cell>
          <cell r="I121">
            <v>5821596.1594875064</v>
          </cell>
          <cell r="J121">
            <v>7350667.3375935564</v>
          </cell>
        </row>
        <row r="122">
          <cell r="A122">
            <v>105</v>
          </cell>
          <cell r="B122">
            <v>47510</v>
          </cell>
          <cell r="C122">
            <v>5821596.1594875064</v>
          </cell>
          <cell r="D122">
            <v>82010.299789481243</v>
          </cell>
          <cell r="E122">
            <v>0</v>
          </cell>
          <cell r="F122">
            <v>82010.299789481243</v>
          </cell>
          <cell r="G122">
            <v>18943.008061699918</v>
          </cell>
          <cell r="H122">
            <v>63067.291727781325</v>
          </cell>
          <cell r="I122">
            <v>5802653.1514258068</v>
          </cell>
          <cell r="J122">
            <v>7413734.6293213377</v>
          </cell>
        </row>
        <row r="123">
          <cell r="A123">
            <v>106</v>
          </cell>
          <cell r="B123">
            <v>47541</v>
          </cell>
          <cell r="C123">
            <v>5802653.1514258068</v>
          </cell>
          <cell r="D123">
            <v>82010.299789481243</v>
          </cell>
          <cell r="E123">
            <v>0</v>
          </cell>
          <cell r="F123">
            <v>82010.299789481243</v>
          </cell>
          <cell r="G123">
            <v>19148.223982368334</v>
          </cell>
          <cell r="H123">
            <v>62862.075807112909</v>
          </cell>
          <cell r="I123">
            <v>5783504.9274434382</v>
          </cell>
          <cell r="J123">
            <v>7476596.7051284509</v>
          </cell>
        </row>
        <row r="124">
          <cell r="A124">
            <v>107</v>
          </cell>
          <cell r="B124">
            <v>47569</v>
          </cell>
          <cell r="C124">
            <v>5783504.9274434382</v>
          </cell>
          <cell r="D124">
            <v>82010.299789481243</v>
          </cell>
          <cell r="E124">
            <v>0</v>
          </cell>
          <cell r="F124">
            <v>82010.299789481243</v>
          </cell>
          <cell r="G124">
            <v>19355.663075510667</v>
          </cell>
          <cell r="H124">
            <v>62654.636713970576</v>
          </cell>
          <cell r="I124">
            <v>5764149.2643679278</v>
          </cell>
          <cell r="J124">
            <v>7539251.3418424213</v>
          </cell>
        </row>
        <row r="125">
          <cell r="A125">
            <v>108</v>
          </cell>
          <cell r="B125">
            <v>47600</v>
          </cell>
          <cell r="C125">
            <v>5764149.2643679278</v>
          </cell>
          <cell r="D125">
            <v>82010.299789481243</v>
          </cell>
          <cell r="E125">
            <v>0</v>
          </cell>
          <cell r="F125">
            <v>82010.299789481243</v>
          </cell>
          <cell r="G125">
            <v>19565.349425495362</v>
          </cell>
          <cell r="H125">
            <v>62444.950363985881</v>
          </cell>
          <cell r="I125">
            <v>5744583.9149424322</v>
          </cell>
          <cell r="J125">
            <v>7601696.2922064075</v>
          </cell>
        </row>
        <row r="126">
          <cell r="A126">
            <v>109</v>
          </cell>
          <cell r="B126">
            <v>47630</v>
          </cell>
          <cell r="C126">
            <v>5744583.9149424322</v>
          </cell>
          <cell r="D126">
            <v>82010.299789481243</v>
          </cell>
          <cell r="E126">
            <v>0</v>
          </cell>
          <cell r="F126">
            <v>82010.299789481243</v>
          </cell>
          <cell r="G126">
            <v>19777.307377604891</v>
          </cell>
          <cell r="H126">
            <v>62232.992411876352</v>
          </cell>
          <cell r="I126">
            <v>5724806.6075648274</v>
          </cell>
          <cell r="J126">
            <v>7663929.2846182836</v>
          </cell>
        </row>
        <row r="127">
          <cell r="A127">
            <v>110</v>
          </cell>
          <cell r="B127">
            <v>47661</v>
          </cell>
          <cell r="C127">
            <v>5724806.6075648274</v>
          </cell>
          <cell r="D127">
            <v>82010.299789481243</v>
          </cell>
          <cell r="E127">
            <v>0</v>
          </cell>
          <cell r="F127">
            <v>82010.299789481243</v>
          </cell>
          <cell r="G127">
            <v>19991.561540862276</v>
          </cell>
          <cell r="H127">
            <v>62018.738248618967</v>
          </cell>
          <cell r="I127">
            <v>5704815.0460239649</v>
          </cell>
          <cell r="J127">
            <v>7725948.0228669029</v>
          </cell>
        </row>
        <row r="128">
          <cell r="A128">
            <v>111</v>
          </cell>
          <cell r="B128">
            <v>47691</v>
          </cell>
          <cell r="C128">
            <v>5704815.0460239649</v>
          </cell>
          <cell r="D128">
            <v>82010.299789481243</v>
          </cell>
          <cell r="E128">
            <v>0</v>
          </cell>
          <cell r="F128">
            <v>82010.299789481243</v>
          </cell>
          <cell r="G128">
            <v>20208.136790888289</v>
          </cell>
          <cell r="H128">
            <v>61802.162998592954</v>
          </cell>
          <cell r="I128">
            <v>5684606.9092330765</v>
          </cell>
          <cell r="J128">
            <v>7787750.1858654963</v>
          </cell>
        </row>
        <row r="129">
          <cell r="A129">
            <v>112</v>
          </cell>
          <cell r="B129">
            <v>47722</v>
          </cell>
          <cell r="C129">
            <v>5684606.9092330765</v>
          </cell>
          <cell r="D129">
            <v>82010.299789481243</v>
          </cell>
          <cell r="E129">
            <v>0</v>
          </cell>
          <cell r="F129">
            <v>82010.299789481243</v>
          </cell>
          <cell r="G129">
            <v>20427.058272789582</v>
          </cell>
          <cell r="H129">
            <v>61583.241516691662</v>
          </cell>
          <cell r="I129">
            <v>5664179.8509602873</v>
          </cell>
          <cell r="J129">
            <v>7849333.4273821879</v>
          </cell>
        </row>
        <row r="130">
          <cell r="A130">
            <v>113</v>
          </cell>
          <cell r="B130">
            <v>47753</v>
          </cell>
          <cell r="C130">
            <v>5664179.8509602873</v>
          </cell>
          <cell r="D130">
            <v>82010.299789481243</v>
          </cell>
          <cell r="E130">
            <v>0</v>
          </cell>
          <cell r="F130">
            <v>82010.299789481243</v>
          </cell>
          <cell r="G130">
            <v>20648.35140407813</v>
          </cell>
          <cell r="H130">
            <v>61361.948385403113</v>
          </cell>
          <cell r="I130">
            <v>5643531.499556209</v>
          </cell>
          <cell r="J130">
            <v>7910695.3757675914</v>
          </cell>
        </row>
        <row r="131">
          <cell r="A131">
            <v>114</v>
          </cell>
          <cell r="B131">
            <v>47783</v>
          </cell>
          <cell r="C131">
            <v>5643531.499556209</v>
          </cell>
          <cell r="D131">
            <v>82010.299789481243</v>
          </cell>
          <cell r="E131">
            <v>0</v>
          </cell>
          <cell r="F131">
            <v>82010.299789481243</v>
          </cell>
          <cell r="G131">
            <v>20872.041877622309</v>
          </cell>
          <cell r="H131">
            <v>61138.257911858935</v>
          </cell>
          <cell r="I131">
            <v>5622659.4576785862</v>
          </cell>
          <cell r="J131">
            <v>7971833.6336794505</v>
          </cell>
        </row>
        <row r="132">
          <cell r="A132">
            <v>115</v>
          </cell>
          <cell r="B132">
            <v>47814</v>
          </cell>
          <cell r="C132">
            <v>5622659.4576785862</v>
          </cell>
          <cell r="D132">
            <v>82010.299789481243</v>
          </cell>
          <cell r="E132">
            <v>0</v>
          </cell>
          <cell r="F132">
            <v>82010.299789481243</v>
          </cell>
          <cell r="G132">
            <v>21098.155664629892</v>
          </cell>
          <cell r="H132">
            <v>60912.144124851351</v>
          </cell>
          <cell r="I132">
            <v>5601561.302013956</v>
          </cell>
          <cell r="J132">
            <v>8032745.7778043021</v>
          </cell>
        </row>
        <row r="133">
          <cell r="A133">
            <v>116</v>
          </cell>
          <cell r="B133">
            <v>47844</v>
          </cell>
          <cell r="C133">
            <v>5601561.302013956</v>
          </cell>
          <cell r="D133">
            <v>82010.299789481243</v>
          </cell>
          <cell r="E133">
            <v>0</v>
          </cell>
          <cell r="F133">
            <v>82010.299789481243</v>
          </cell>
          <cell r="G133">
            <v>21326.719017663389</v>
          </cell>
          <cell r="H133">
            <v>60683.580771817855</v>
          </cell>
          <cell r="I133">
            <v>5580234.582996293</v>
          </cell>
          <cell r="J133">
            <v>8093429.3585761199</v>
          </cell>
        </row>
        <row r="134">
          <cell r="A134">
            <v>117</v>
          </cell>
          <cell r="B134">
            <v>47875</v>
          </cell>
          <cell r="C134">
            <v>5580234.582996293</v>
          </cell>
          <cell r="D134">
            <v>82010.299789481243</v>
          </cell>
          <cell r="E134">
            <v>0</v>
          </cell>
          <cell r="F134">
            <v>82010.299789481243</v>
          </cell>
          <cell r="G134">
            <v>21557.758473688067</v>
          </cell>
          <cell r="H134">
            <v>60452.541315793176</v>
          </cell>
          <cell r="I134">
            <v>5558676.8245226052</v>
          </cell>
          <cell r="J134">
            <v>8153881.8998919129</v>
          </cell>
        </row>
        <row r="135">
          <cell r="A135">
            <v>118</v>
          </cell>
          <cell r="B135">
            <v>47906</v>
          </cell>
          <cell r="C135">
            <v>5558676.8245226052</v>
          </cell>
          <cell r="D135">
            <v>82010.299789481243</v>
          </cell>
          <cell r="E135">
            <v>0</v>
          </cell>
          <cell r="F135">
            <v>82010.299789481243</v>
          </cell>
          <cell r="G135">
            <v>21791.300857153023</v>
          </cell>
          <cell r="H135">
            <v>60218.998932328221</v>
          </cell>
          <cell r="I135">
            <v>5536885.5236654524</v>
          </cell>
          <cell r="J135">
            <v>8214100.898824241</v>
          </cell>
        </row>
        <row r="136">
          <cell r="A136">
            <v>119</v>
          </cell>
          <cell r="B136">
            <v>47934</v>
          </cell>
          <cell r="C136">
            <v>5536885.5236654524</v>
          </cell>
          <cell r="D136">
            <v>82010.299789481243</v>
          </cell>
          <cell r="E136">
            <v>0</v>
          </cell>
          <cell r="F136">
            <v>82010.299789481243</v>
          </cell>
          <cell r="G136">
            <v>22027.373283105502</v>
          </cell>
          <cell r="H136">
            <v>59982.926506375741</v>
          </cell>
          <cell r="I136">
            <v>5514858.1503823465</v>
          </cell>
          <cell r="J136">
            <v>8274083.8253306169</v>
          </cell>
        </row>
        <row r="137">
          <cell r="A137">
            <v>120</v>
          </cell>
          <cell r="B137">
            <v>47965</v>
          </cell>
          <cell r="C137">
            <v>5514858.1503823465</v>
          </cell>
          <cell r="D137">
            <v>82010.299789481243</v>
          </cell>
          <cell r="E137">
            <v>0</v>
          </cell>
          <cell r="F137">
            <v>82010.299789481243</v>
          </cell>
          <cell r="G137">
            <v>22266.003160339162</v>
          </cell>
          <cell r="H137">
            <v>59744.296629142082</v>
          </cell>
          <cell r="I137">
            <v>5492592.1472220076</v>
          </cell>
          <cell r="J137">
            <v>8333828.1219597589</v>
          </cell>
        </row>
        <row r="138">
          <cell r="A138">
            <v>121</v>
          </cell>
          <cell r="B138">
            <v>47995</v>
          </cell>
          <cell r="C138">
            <v>5492592.1472220076</v>
          </cell>
          <cell r="D138">
            <v>82010.299789481243</v>
          </cell>
          <cell r="E138">
            <v>0</v>
          </cell>
          <cell r="F138">
            <v>82010.299789481243</v>
          </cell>
          <cell r="G138">
            <v>22507.218194576155</v>
          </cell>
          <cell r="H138">
            <v>59503.081594905088</v>
          </cell>
          <cell r="I138">
            <v>5470084.9290274316</v>
          </cell>
          <cell r="J138">
            <v>8393331.2035546638</v>
          </cell>
        </row>
        <row r="139">
          <cell r="A139">
            <v>122</v>
          </cell>
          <cell r="B139">
            <v>48026</v>
          </cell>
          <cell r="C139">
            <v>5470084.9290274316</v>
          </cell>
          <cell r="D139">
            <v>82010.299789481243</v>
          </cell>
          <cell r="E139">
            <v>0</v>
          </cell>
          <cell r="F139">
            <v>82010.299789481243</v>
          </cell>
          <cell r="G139">
            <v>22751.046391684067</v>
          </cell>
          <cell r="H139">
            <v>59259.253397797176</v>
          </cell>
          <cell r="I139">
            <v>5447333.882635748</v>
          </cell>
          <cell r="J139">
            <v>8452590.4569524601</v>
          </cell>
        </row>
        <row r="140">
          <cell r="A140">
            <v>123</v>
          </cell>
          <cell r="B140">
            <v>48056</v>
          </cell>
          <cell r="C140">
            <v>5447333.882635748</v>
          </cell>
          <cell r="D140">
            <v>82010.299789481243</v>
          </cell>
          <cell r="E140">
            <v>0</v>
          </cell>
          <cell r="F140">
            <v>82010.299789481243</v>
          </cell>
          <cell r="G140">
            <v>22997.516060927301</v>
          </cell>
          <cell r="H140">
            <v>59012.783728553943</v>
          </cell>
          <cell r="I140">
            <v>5424336.3665748211</v>
          </cell>
          <cell r="J140">
            <v>8511603.240681015</v>
          </cell>
        </row>
        <row r="141">
          <cell r="A141">
            <v>124</v>
          </cell>
          <cell r="B141">
            <v>48087</v>
          </cell>
          <cell r="C141">
            <v>5424336.3665748211</v>
          </cell>
          <cell r="D141">
            <v>82010.299789481243</v>
          </cell>
          <cell r="E141">
            <v>0</v>
          </cell>
          <cell r="F141">
            <v>82010.299789481243</v>
          </cell>
          <cell r="G141">
            <v>23246.655818254018</v>
          </cell>
          <cell r="H141">
            <v>58763.643971227226</v>
          </cell>
          <cell r="I141">
            <v>5401089.7107565673</v>
          </cell>
          <cell r="J141">
            <v>8570366.8846522421</v>
          </cell>
        </row>
        <row r="142">
          <cell r="A142">
            <v>125</v>
          </cell>
          <cell r="B142">
            <v>48118</v>
          </cell>
          <cell r="C142">
            <v>5401089.7107565673</v>
          </cell>
          <cell r="D142">
            <v>82010.299789481243</v>
          </cell>
          <cell r="E142">
            <v>0</v>
          </cell>
          <cell r="F142">
            <v>82010.299789481243</v>
          </cell>
          <cell r="G142">
            <v>23498.494589618429</v>
          </cell>
          <cell r="H142">
            <v>58511.805199862814</v>
          </cell>
          <cell r="I142">
            <v>5377591.2161669489</v>
          </cell>
          <cell r="J142">
            <v>8628878.6898521055</v>
          </cell>
        </row>
        <row r="143">
          <cell r="A143">
            <v>126</v>
          </cell>
          <cell r="B143">
            <v>48148</v>
          </cell>
          <cell r="C143">
            <v>5377591.2161669489</v>
          </cell>
          <cell r="D143">
            <v>82010.299789481243</v>
          </cell>
          <cell r="E143">
            <v>0</v>
          </cell>
          <cell r="F143">
            <v>82010.299789481243</v>
          </cell>
          <cell r="G143">
            <v>23753.061614339298</v>
          </cell>
          <cell r="H143">
            <v>58257.238175141945</v>
          </cell>
          <cell r="I143">
            <v>5353838.1545526097</v>
          </cell>
          <cell r="J143">
            <v>8687135.928027248</v>
          </cell>
        </row>
        <row r="144">
          <cell r="A144">
            <v>127</v>
          </cell>
          <cell r="B144">
            <v>48179</v>
          </cell>
          <cell r="C144">
            <v>5353838.1545526097</v>
          </cell>
          <cell r="D144">
            <v>82010.299789481243</v>
          </cell>
          <cell r="E144">
            <v>0</v>
          </cell>
          <cell r="F144">
            <v>82010.299789481243</v>
          </cell>
          <cell r="G144">
            <v>24010.386448494632</v>
          </cell>
          <cell r="H144">
            <v>57999.913340986612</v>
          </cell>
          <cell r="I144">
            <v>5329827.7681041146</v>
          </cell>
          <cell r="J144">
            <v>8745135.8413682338</v>
          </cell>
        </row>
        <row r="145">
          <cell r="A145">
            <v>128</v>
          </cell>
          <cell r="B145">
            <v>48209</v>
          </cell>
          <cell r="C145">
            <v>5329827.7681041146</v>
          </cell>
          <cell r="D145">
            <v>82010.299789481243</v>
          </cell>
          <cell r="E145">
            <v>0</v>
          </cell>
          <cell r="F145">
            <v>82010.299789481243</v>
          </cell>
          <cell r="G145">
            <v>24270.498968353328</v>
          </cell>
          <cell r="H145">
            <v>57739.800821127916</v>
          </cell>
          <cell r="I145">
            <v>5305557.2691357611</v>
          </cell>
          <cell r="J145">
            <v>8802875.6421893612</v>
          </cell>
        </row>
        <row r="146">
          <cell r="A146">
            <v>129</v>
          </cell>
          <cell r="B146">
            <v>48240</v>
          </cell>
          <cell r="C146">
            <v>5305557.2691357611</v>
          </cell>
          <cell r="D146">
            <v>82010.299789481243</v>
          </cell>
          <cell r="E146">
            <v>0</v>
          </cell>
          <cell r="F146">
            <v>82010.299789481243</v>
          </cell>
          <cell r="G146">
            <v>24533.429373843828</v>
          </cell>
          <cell r="H146">
            <v>57476.870415637415</v>
          </cell>
          <cell r="I146">
            <v>5281023.8397619175</v>
          </cell>
          <cell r="J146">
            <v>8860352.5126049984</v>
          </cell>
        </row>
        <row r="147">
          <cell r="A147">
            <v>130</v>
          </cell>
          <cell r="B147">
            <v>48271</v>
          </cell>
          <cell r="C147">
            <v>5281023.8397619175</v>
          </cell>
          <cell r="D147">
            <v>82010.299789481243</v>
          </cell>
          <cell r="E147">
            <v>0</v>
          </cell>
          <cell r="F147">
            <v>82010.299789481243</v>
          </cell>
          <cell r="G147">
            <v>24799.208192060469</v>
          </cell>
          <cell r="H147">
            <v>57211.091597420775</v>
          </cell>
          <cell r="I147">
            <v>5256224.6315698568</v>
          </cell>
          <cell r="J147">
            <v>8917563.6042024195</v>
          </cell>
        </row>
        <row r="148">
          <cell r="A148">
            <v>131</v>
          </cell>
          <cell r="B148">
            <v>48300</v>
          </cell>
          <cell r="C148">
            <v>5256224.6315698568</v>
          </cell>
          <cell r="D148">
            <v>82010.299789481243</v>
          </cell>
          <cell r="E148">
            <v>0</v>
          </cell>
          <cell r="F148">
            <v>82010.299789481243</v>
          </cell>
          <cell r="G148">
            <v>25067.866280807793</v>
          </cell>
          <cell r="H148">
            <v>56942.43350867345</v>
          </cell>
          <cell r="I148">
            <v>5231156.7652890487</v>
          </cell>
          <cell r="J148">
            <v>8974506.0377110932</v>
          </cell>
        </row>
        <row r="149">
          <cell r="A149">
            <v>132</v>
          </cell>
          <cell r="B149">
            <v>48331</v>
          </cell>
          <cell r="C149">
            <v>5231156.7652890487</v>
          </cell>
          <cell r="D149">
            <v>82010.299789481243</v>
          </cell>
          <cell r="E149">
            <v>0</v>
          </cell>
          <cell r="F149">
            <v>82010.299789481243</v>
          </cell>
          <cell r="G149">
            <v>25339.434832183215</v>
          </cell>
          <cell r="H149">
            <v>56670.864957298028</v>
          </cell>
          <cell r="I149">
            <v>5205817.330456865</v>
          </cell>
          <cell r="J149">
            <v>9031176.9026683904</v>
          </cell>
        </row>
        <row r="150">
          <cell r="A150">
            <v>133</v>
          </cell>
          <cell r="B150">
            <v>48361</v>
          </cell>
          <cell r="C150">
            <v>5205817.330456865</v>
          </cell>
          <cell r="D150">
            <v>82010.299789481243</v>
          </cell>
          <cell r="E150">
            <v>0</v>
          </cell>
          <cell r="F150">
            <v>82010.299789481243</v>
          </cell>
          <cell r="G150">
            <v>25613.945376198535</v>
          </cell>
          <cell r="H150">
            <v>56396.354413282708</v>
          </cell>
          <cell r="I150">
            <v>5180203.3850806663</v>
          </cell>
          <cell r="J150">
            <v>9087573.2570816725</v>
          </cell>
        </row>
        <row r="151">
          <cell r="A151">
            <v>134</v>
          </cell>
          <cell r="B151">
            <v>48392</v>
          </cell>
          <cell r="C151">
            <v>5180203.3850806663</v>
          </cell>
          <cell r="D151">
            <v>82010.299789481243</v>
          </cell>
          <cell r="E151">
            <v>0</v>
          </cell>
          <cell r="F151">
            <v>82010.299789481243</v>
          </cell>
          <cell r="G151">
            <v>25891.42978444069</v>
          </cell>
          <cell r="H151">
            <v>56118.870005040553</v>
          </cell>
          <cell r="I151">
            <v>5154311.9552962258</v>
          </cell>
          <cell r="J151">
            <v>9143692.1270867139</v>
          </cell>
        </row>
        <row r="152">
          <cell r="A152">
            <v>135</v>
          </cell>
          <cell r="B152">
            <v>48422</v>
          </cell>
          <cell r="C152">
            <v>5154311.9552962258</v>
          </cell>
          <cell r="D152">
            <v>82010.299789481243</v>
          </cell>
          <cell r="E152">
            <v>0</v>
          </cell>
          <cell r="F152">
            <v>82010.299789481243</v>
          </cell>
          <cell r="G152">
            <v>26171.920273772128</v>
          </cell>
          <cell r="H152">
            <v>55838.379515709115</v>
          </cell>
          <cell r="I152">
            <v>5128140.0350224534</v>
          </cell>
          <cell r="J152">
            <v>9199530.5066024233</v>
          </cell>
        </row>
        <row r="153">
          <cell r="A153">
            <v>136</v>
          </cell>
          <cell r="B153">
            <v>48453</v>
          </cell>
          <cell r="C153">
            <v>5128140.0350224534</v>
          </cell>
          <cell r="D153">
            <v>82010.299789481243</v>
          </cell>
          <cell r="E153">
            <v>0</v>
          </cell>
          <cell r="F153">
            <v>82010.299789481243</v>
          </cell>
          <cell r="G153">
            <v>26455.449410071327</v>
          </cell>
          <cell r="H153">
            <v>55554.850379409916</v>
          </cell>
          <cell r="I153">
            <v>5101684.5856123818</v>
          </cell>
          <cell r="J153">
            <v>9255085.3569818325</v>
          </cell>
        </row>
        <row r="154">
          <cell r="A154">
            <v>137</v>
          </cell>
          <cell r="B154">
            <v>48484</v>
          </cell>
          <cell r="C154">
            <v>5101684.5856123818</v>
          </cell>
          <cell r="D154">
            <v>82010.299789481243</v>
          </cell>
          <cell r="E154">
            <v>0</v>
          </cell>
          <cell r="F154">
            <v>82010.299789481243</v>
          </cell>
          <cell r="G154">
            <v>26742.050112013771</v>
          </cell>
          <cell r="H154">
            <v>55268.249677467473</v>
          </cell>
          <cell r="I154">
            <v>5074942.5355003681</v>
          </cell>
          <cell r="J154">
            <v>9310353.6066593006</v>
          </cell>
        </row>
        <row r="155">
          <cell r="A155">
            <v>138</v>
          </cell>
          <cell r="B155">
            <v>48514</v>
          </cell>
          <cell r="C155">
            <v>5074942.5355003681</v>
          </cell>
          <cell r="D155">
            <v>82010.299789481243</v>
          </cell>
          <cell r="E155">
            <v>0</v>
          </cell>
          <cell r="F155">
            <v>82010.299789481243</v>
          </cell>
          <cell r="G155">
            <v>27031.755654893925</v>
          </cell>
          <cell r="H155">
            <v>54978.544134587319</v>
          </cell>
          <cell r="I155">
            <v>5047910.7798454743</v>
          </cell>
          <cell r="J155">
            <v>9365332.1507938877</v>
          </cell>
        </row>
        <row r="156">
          <cell r="A156">
            <v>139</v>
          </cell>
          <cell r="B156">
            <v>48545</v>
          </cell>
          <cell r="C156">
            <v>5047910.7798454743</v>
          </cell>
          <cell r="D156">
            <v>82010.299789481243</v>
          </cell>
          <cell r="E156">
            <v>0</v>
          </cell>
          <cell r="F156">
            <v>82010.299789481243</v>
          </cell>
          <cell r="G156">
            <v>27324.5996744886</v>
          </cell>
          <cell r="H156">
            <v>54685.700114992644</v>
          </cell>
          <cell r="I156">
            <v>5020586.1801709859</v>
          </cell>
          <cell r="J156">
            <v>9420017.8509088811</v>
          </cell>
        </row>
        <row r="157">
          <cell r="A157">
            <v>140</v>
          </cell>
          <cell r="B157">
            <v>48575</v>
          </cell>
          <cell r="C157">
            <v>5020586.1801709859</v>
          </cell>
          <cell r="D157">
            <v>82010.299789481243</v>
          </cell>
          <cell r="E157">
            <v>0</v>
          </cell>
          <cell r="F157">
            <v>82010.299789481243</v>
          </cell>
          <cell r="G157">
            <v>27620.616170962225</v>
          </cell>
          <cell r="H157">
            <v>54389.683618519019</v>
          </cell>
          <cell r="I157">
            <v>4992965.5640000235</v>
          </cell>
          <cell r="J157">
            <v>9474407.5345274005</v>
          </cell>
        </row>
        <row r="158">
          <cell r="A158">
            <v>141</v>
          </cell>
          <cell r="B158">
            <v>48606</v>
          </cell>
          <cell r="C158">
            <v>4992965.5640000235</v>
          </cell>
          <cell r="D158">
            <v>82010.299789481243</v>
          </cell>
          <cell r="E158">
            <v>0</v>
          </cell>
          <cell r="F158">
            <v>82010.299789481243</v>
          </cell>
          <cell r="G158">
            <v>27919.839512814324</v>
          </cell>
          <cell r="H158">
            <v>54090.46027666692</v>
          </cell>
          <cell r="I158">
            <v>4965045.7244872088</v>
          </cell>
          <cell r="J158">
            <v>9528497.9948040675</v>
          </cell>
        </row>
        <row r="159">
          <cell r="A159">
            <v>142</v>
          </cell>
          <cell r="B159">
            <v>48637</v>
          </cell>
          <cell r="C159">
            <v>4965045.7244872088</v>
          </cell>
          <cell r="D159">
            <v>82010.299789481243</v>
          </cell>
          <cell r="E159">
            <v>0</v>
          </cell>
          <cell r="F159">
            <v>82010.299789481243</v>
          </cell>
          <cell r="G159">
            <v>28222.304440869812</v>
          </cell>
          <cell r="H159">
            <v>53787.995348611432</v>
          </cell>
          <cell r="I159">
            <v>4936823.4200463388</v>
          </cell>
          <cell r="J159">
            <v>9582285.9901526794</v>
          </cell>
        </row>
        <row r="160">
          <cell r="A160">
            <v>143</v>
          </cell>
          <cell r="B160">
            <v>48665</v>
          </cell>
          <cell r="C160">
            <v>4936823.4200463388</v>
          </cell>
          <cell r="D160">
            <v>82010.299789481243</v>
          </cell>
          <cell r="E160">
            <v>0</v>
          </cell>
          <cell r="F160">
            <v>82010.299789481243</v>
          </cell>
          <cell r="G160">
            <v>28528.046072312573</v>
          </cell>
          <cell r="H160">
            <v>53482.253717168671</v>
          </cell>
          <cell r="I160">
            <v>4908295.3739740262</v>
          </cell>
          <cell r="J160">
            <v>9635768.2438698485</v>
          </cell>
        </row>
        <row r="161">
          <cell r="A161">
            <v>144</v>
          </cell>
          <cell r="B161">
            <v>48696</v>
          </cell>
          <cell r="C161">
            <v>4908295.3739740262</v>
          </cell>
          <cell r="D161">
            <v>82010.299789481243</v>
          </cell>
          <cell r="E161">
            <v>0</v>
          </cell>
          <cell r="F161">
            <v>82010.299789481243</v>
          </cell>
          <cell r="G161">
            <v>28837.099904762617</v>
          </cell>
          <cell r="H161">
            <v>53173.199884718626</v>
          </cell>
          <cell r="I161">
            <v>4879458.2740692636</v>
          </cell>
          <cell r="J161">
            <v>9688941.4437545668</v>
          </cell>
        </row>
        <row r="162">
          <cell r="A162">
            <v>145</v>
          </cell>
          <cell r="B162">
            <v>48726</v>
          </cell>
          <cell r="C162">
            <v>4879458.2740692636</v>
          </cell>
          <cell r="D162">
            <v>82010.299789481243</v>
          </cell>
          <cell r="E162">
            <v>0</v>
          </cell>
          <cell r="F162">
            <v>82010.299789481243</v>
          </cell>
          <cell r="G162">
            <v>29149.501820397556</v>
          </cell>
          <cell r="H162">
            <v>52860.797969083687</v>
          </cell>
          <cell r="I162">
            <v>4850308.772248866</v>
          </cell>
          <cell r="J162">
            <v>9741802.2417236511</v>
          </cell>
        </row>
        <row r="163">
          <cell r="A163">
            <v>146</v>
          </cell>
          <cell r="B163">
            <v>48757</v>
          </cell>
          <cell r="C163">
            <v>4850308.772248866</v>
          </cell>
          <cell r="D163">
            <v>82010.299789481243</v>
          </cell>
          <cell r="E163">
            <v>0</v>
          </cell>
          <cell r="F163">
            <v>82010.299789481243</v>
          </cell>
          <cell r="G163">
            <v>29465.288090118527</v>
          </cell>
          <cell r="H163">
            <v>52545.011699362716</v>
          </cell>
          <cell r="I163">
            <v>4820843.4841587478</v>
          </cell>
          <cell r="J163">
            <v>9794347.2534230147</v>
          </cell>
        </row>
        <row r="164">
          <cell r="A164">
            <v>147</v>
          </cell>
          <cell r="B164">
            <v>48787</v>
          </cell>
          <cell r="C164">
            <v>4820843.4841587478</v>
          </cell>
          <cell r="D164">
            <v>82010.299789481243</v>
          </cell>
          <cell r="E164">
            <v>0</v>
          </cell>
          <cell r="F164">
            <v>82010.299789481243</v>
          </cell>
          <cell r="G164">
            <v>29784.495377761479</v>
          </cell>
          <cell r="H164">
            <v>52225.804411719764</v>
          </cell>
          <cell r="I164">
            <v>4791058.9887809865</v>
          </cell>
          <cell r="J164">
            <v>9846573.0578347351</v>
          </cell>
        </row>
        <row r="165">
          <cell r="A165">
            <v>148</v>
          </cell>
          <cell r="B165">
            <v>48818</v>
          </cell>
          <cell r="C165">
            <v>4791058.9887809865</v>
          </cell>
          <cell r="D165">
            <v>82010.299789481243</v>
          </cell>
          <cell r="E165">
            <v>0</v>
          </cell>
          <cell r="F165">
            <v>82010.299789481243</v>
          </cell>
          <cell r="G165">
            <v>30107.160744353889</v>
          </cell>
          <cell r="H165">
            <v>51903.139045127355</v>
          </cell>
          <cell r="I165">
            <v>4760951.8280366324</v>
          </cell>
          <cell r="J165">
            <v>9898476.1968798619</v>
          </cell>
        </row>
        <row r="166">
          <cell r="A166">
            <v>149</v>
          </cell>
          <cell r="B166">
            <v>48849</v>
          </cell>
          <cell r="C166">
            <v>4760951.8280366324</v>
          </cell>
          <cell r="D166">
            <v>82010.299789481243</v>
          </cell>
          <cell r="E166">
            <v>0</v>
          </cell>
          <cell r="F166">
            <v>82010.299789481243</v>
          </cell>
          <cell r="G166">
            <v>30433.321652417719</v>
          </cell>
          <cell r="H166">
            <v>51576.978137063525</v>
          </cell>
          <cell r="I166">
            <v>4730518.5063842144</v>
          </cell>
          <cell r="J166">
            <v>9950053.1750169247</v>
          </cell>
        </row>
        <row r="167">
          <cell r="A167">
            <v>150</v>
          </cell>
          <cell r="B167">
            <v>48879</v>
          </cell>
          <cell r="C167">
            <v>4730518.5063842144</v>
          </cell>
          <cell r="D167">
            <v>82010.299789481243</v>
          </cell>
          <cell r="E167">
            <v>0</v>
          </cell>
          <cell r="F167">
            <v>82010.299789481243</v>
          </cell>
          <cell r="G167">
            <v>30763.01597031892</v>
          </cell>
          <cell r="H167">
            <v>51247.283819162323</v>
          </cell>
          <cell r="I167">
            <v>4699755.4904138958</v>
          </cell>
          <cell r="J167">
            <v>10001300.458836088</v>
          </cell>
        </row>
        <row r="168">
          <cell r="A168">
            <v>151</v>
          </cell>
          <cell r="B168">
            <v>48910</v>
          </cell>
          <cell r="C168">
            <v>4699755.4904138958</v>
          </cell>
          <cell r="D168">
            <v>82010.299789481243</v>
          </cell>
          <cell r="E168">
            <v>0</v>
          </cell>
          <cell r="F168">
            <v>82010.299789481243</v>
          </cell>
          <cell r="G168">
            <v>31096.281976664039</v>
          </cell>
          <cell r="H168">
            <v>50914.017812817205</v>
          </cell>
          <cell r="I168">
            <v>4668659.2084372314</v>
          </cell>
          <cell r="J168">
            <v>10052214.476648904</v>
          </cell>
        </row>
        <row r="169">
          <cell r="A169">
            <v>152</v>
          </cell>
          <cell r="B169">
            <v>48940</v>
          </cell>
          <cell r="C169">
            <v>4668659.2084372314</v>
          </cell>
          <cell r="D169">
            <v>82010.299789481243</v>
          </cell>
          <cell r="E169">
            <v>0</v>
          </cell>
          <cell r="F169">
            <v>82010.299789481243</v>
          </cell>
          <cell r="G169">
            <v>31433.158364744566</v>
          </cell>
          <cell r="H169">
            <v>50577.141424736677</v>
          </cell>
          <cell r="I169">
            <v>4637226.0500724865</v>
          </cell>
          <cell r="J169">
            <v>10102791.61807364</v>
          </cell>
        </row>
        <row r="170">
          <cell r="A170">
            <v>153</v>
          </cell>
          <cell r="B170">
            <v>48971</v>
          </cell>
          <cell r="C170">
            <v>4637226.0500724865</v>
          </cell>
          <cell r="D170">
            <v>82010.299789481243</v>
          </cell>
          <cell r="E170">
            <v>0</v>
          </cell>
          <cell r="F170">
            <v>82010.299789481243</v>
          </cell>
          <cell r="G170">
            <v>31773.684247029305</v>
          </cell>
          <cell r="H170">
            <v>50236.615542451938</v>
          </cell>
          <cell r="I170">
            <v>4605452.3658254575</v>
          </cell>
          <cell r="J170">
            <v>10153028.233616093</v>
          </cell>
        </row>
        <row r="171">
          <cell r="A171">
            <v>154</v>
          </cell>
          <cell r="B171">
            <v>49002</v>
          </cell>
          <cell r="C171">
            <v>4605452.3658254575</v>
          </cell>
          <cell r="D171">
            <v>82010.299789481243</v>
          </cell>
          <cell r="E171">
            <v>0</v>
          </cell>
          <cell r="F171">
            <v>82010.299789481243</v>
          </cell>
          <cell r="G171">
            <v>32117.899159705448</v>
          </cell>
          <cell r="H171">
            <v>49892.400629775795</v>
          </cell>
          <cell r="I171">
            <v>4573334.4666657522</v>
          </cell>
          <cell r="J171">
            <v>10202920.634245869</v>
          </cell>
        </row>
        <row r="172">
          <cell r="A172">
            <v>155</v>
          </cell>
          <cell r="B172">
            <v>49030</v>
          </cell>
          <cell r="C172">
            <v>4573334.4666657522</v>
          </cell>
          <cell r="D172">
            <v>82010.299789481243</v>
          </cell>
          <cell r="E172">
            <v>0</v>
          </cell>
          <cell r="F172">
            <v>82010.299789481243</v>
          </cell>
          <cell r="G172">
            <v>32465.843067268928</v>
          </cell>
          <cell r="H172">
            <v>49544.456722212315</v>
          </cell>
          <cell r="I172">
            <v>4540868.6235984834</v>
          </cell>
          <cell r="J172">
            <v>10252465.090968082</v>
          </cell>
        </row>
        <row r="173">
          <cell r="A173">
            <v>156</v>
          </cell>
          <cell r="B173">
            <v>49061</v>
          </cell>
          <cell r="C173">
            <v>4540868.6235984834</v>
          </cell>
          <cell r="D173">
            <v>82010.299789481243</v>
          </cell>
          <cell r="E173">
            <v>0</v>
          </cell>
          <cell r="F173">
            <v>82010.299789481243</v>
          </cell>
          <cell r="G173">
            <v>32817.556367164339</v>
          </cell>
          <cell r="H173">
            <v>49192.743422316904</v>
          </cell>
          <cell r="I173">
            <v>4508051.0672313189</v>
          </cell>
          <cell r="J173">
            <v>10301657.834390398</v>
          </cell>
        </row>
        <row r="174">
          <cell r="A174">
            <v>157</v>
          </cell>
          <cell r="B174">
            <v>49091</v>
          </cell>
          <cell r="C174">
            <v>4508051.0672313189</v>
          </cell>
          <cell r="D174">
            <v>82010.299789481243</v>
          </cell>
          <cell r="E174">
            <v>0</v>
          </cell>
          <cell r="F174">
            <v>82010.299789481243</v>
          </cell>
          <cell r="G174">
            <v>33173.07989447529</v>
          </cell>
          <cell r="H174">
            <v>48837.219895005954</v>
          </cell>
          <cell r="I174">
            <v>4474877.9873368433</v>
          </cell>
          <cell r="J174">
            <v>10350495.054285403</v>
          </cell>
        </row>
        <row r="175">
          <cell r="A175">
            <v>158</v>
          </cell>
          <cell r="B175">
            <v>49122</v>
          </cell>
          <cell r="C175">
            <v>4474877.9873368433</v>
          </cell>
          <cell r="D175">
            <v>82010.299789481243</v>
          </cell>
          <cell r="E175">
            <v>0</v>
          </cell>
          <cell r="F175">
            <v>82010.299789481243</v>
          </cell>
          <cell r="G175">
            <v>33532.454926665436</v>
          </cell>
          <cell r="H175">
            <v>48477.844862815808</v>
          </cell>
          <cell r="I175">
            <v>4441345.5324101774</v>
          </cell>
          <cell r="J175">
            <v>10398972.899148218</v>
          </cell>
        </row>
        <row r="176">
          <cell r="A176">
            <v>159</v>
          </cell>
          <cell r="B176">
            <v>49152</v>
          </cell>
          <cell r="C176">
            <v>4441345.5324101774</v>
          </cell>
          <cell r="D176">
            <v>82010.299789481243</v>
          </cell>
          <cell r="E176">
            <v>0</v>
          </cell>
          <cell r="F176">
            <v>82010.299789481243</v>
          </cell>
          <cell r="G176">
            <v>33895.72318837099</v>
          </cell>
          <cell r="H176">
            <v>48114.576601110253</v>
          </cell>
          <cell r="I176">
            <v>4407449.809221806</v>
          </cell>
          <cell r="J176">
            <v>10447087.475749329</v>
          </cell>
        </row>
        <row r="177">
          <cell r="A177">
            <v>160</v>
          </cell>
          <cell r="B177">
            <v>49183</v>
          </cell>
          <cell r="C177">
            <v>4407449.809221806</v>
          </cell>
          <cell r="D177">
            <v>82010.299789481243</v>
          </cell>
          <cell r="E177">
            <v>0</v>
          </cell>
          <cell r="F177">
            <v>82010.299789481243</v>
          </cell>
          <cell r="G177">
            <v>34262.926856245009</v>
          </cell>
          <cell r="H177">
            <v>47747.372933236235</v>
          </cell>
          <cell r="I177">
            <v>4373186.8823655611</v>
          </cell>
          <cell r="J177">
            <v>10494834.848682566</v>
          </cell>
        </row>
        <row r="178">
          <cell r="A178">
            <v>161</v>
          </cell>
          <cell r="B178">
            <v>49214</v>
          </cell>
          <cell r="C178">
            <v>4373186.8823655611</v>
          </cell>
          <cell r="D178">
            <v>82010.299789481243</v>
          </cell>
          <cell r="E178">
            <v>0</v>
          </cell>
          <cell r="F178">
            <v>82010.299789481243</v>
          </cell>
          <cell r="G178">
            <v>34634.10856385433</v>
          </cell>
          <cell r="H178">
            <v>47376.191225626913</v>
          </cell>
          <cell r="I178">
            <v>4338552.7738017067</v>
          </cell>
          <cell r="J178">
            <v>10542211.039908193</v>
          </cell>
        </row>
        <row r="179">
          <cell r="A179">
            <v>162</v>
          </cell>
          <cell r="B179">
            <v>49244</v>
          </cell>
          <cell r="C179">
            <v>4338552.7738017067</v>
          </cell>
          <cell r="D179">
            <v>82010.299789481243</v>
          </cell>
          <cell r="E179">
            <v>0</v>
          </cell>
          <cell r="F179">
            <v>82010.299789481243</v>
          </cell>
          <cell r="G179">
            <v>35009.311406629422</v>
          </cell>
          <cell r="H179">
            <v>47000.988382851821</v>
          </cell>
          <cell r="I179">
            <v>4303543.4623950776</v>
          </cell>
          <cell r="J179">
            <v>10589212.028291045</v>
          </cell>
        </row>
        <row r="180">
          <cell r="A180">
            <v>163</v>
          </cell>
          <cell r="B180">
            <v>49275</v>
          </cell>
          <cell r="C180">
            <v>4303543.4623950776</v>
          </cell>
          <cell r="D180">
            <v>82010.299789481243</v>
          </cell>
          <cell r="E180">
            <v>0</v>
          </cell>
          <cell r="F180">
            <v>82010.299789481243</v>
          </cell>
          <cell r="G180">
            <v>35388.5789468679</v>
          </cell>
          <cell r="H180">
            <v>46621.720842613344</v>
          </cell>
          <cell r="I180">
            <v>4268154.8834482096</v>
          </cell>
          <cell r="J180">
            <v>10635833.749133658</v>
          </cell>
        </row>
        <row r="181">
          <cell r="A181">
            <v>164</v>
          </cell>
          <cell r="B181">
            <v>49305</v>
          </cell>
          <cell r="C181">
            <v>4268154.8834482096</v>
          </cell>
          <cell r="D181">
            <v>82010.299789481243</v>
          </cell>
          <cell r="E181">
            <v>0</v>
          </cell>
          <cell r="F181">
            <v>82010.299789481243</v>
          </cell>
          <cell r="G181">
            <v>35771.955218792304</v>
          </cell>
          <cell r="H181">
            <v>46238.34457068894</v>
          </cell>
          <cell r="I181">
            <v>4232382.9282294177</v>
          </cell>
          <cell r="J181">
            <v>10682072.093704347</v>
          </cell>
        </row>
        <row r="182">
          <cell r="A182">
            <v>165</v>
          </cell>
          <cell r="B182">
            <v>49336</v>
          </cell>
          <cell r="C182">
            <v>4232382.9282294177</v>
          </cell>
          <cell r="D182">
            <v>82010.299789481243</v>
          </cell>
          <cell r="E182">
            <v>0</v>
          </cell>
          <cell r="F182">
            <v>82010.299789481243</v>
          </cell>
          <cell r="G182">
            <v>36159.484733662546</v>
          </cell>
          <cell r="H182">
            <v>45850.815055818697</v>
          </cell>
          <cell r="I182">
            <v>4196223.4434957551</v>
          </cell>
          <cell r="J182">
            <v>10727922.908760166</v>
          </cell>
        </row>
        <row r="183">
          <cell r="A183">
            <v>166</v>
          </cell>
          <cell r="B183">
            <v>49367</v>
          </cell>
          <cell r="C183">
            <v>4196223.4434957551</v>
          </cell>
          <cell r="D183">
            <v>82010.299789481243</v>
          </cell>
          <cell r="E183">
            <v>0</v>
          </cell>
          <cell r="F183">
            <v>82010.299789481243</v>
          </cell>
          <cell r="G183">
            <v>36551.212484943891</v>
          </cell>
          <cell r="H183">
            <v>45459.087304537352</v>
          </cell>
          <cell r="I183">
            <v>4159672.2310108114</v>
          </cell>
          <cell r="J183">
            <v>10773381.996064704</v>
          </cell>
        </row>
        <row r="184">
          <cell r="A184">
            <v>167</v>
          </cell>
          <cell r="B184">
            <v>49395</v>
          </cell>
          <cell r="C184">
            <v>4159672.2310108114</v>
          </cell>
          <cell r="D184">
            <v>82010.299789481243</v>
          </cell>
          <cell r="E184">
            <v>0</v>
          </cell>
          <cell r="F184">
            <v>82010.299789481243</v>
          </cell>
          <cell r="G184">
            <v>36947.183953530788</v>
          </cell>
          <cell r="H184">
            <v>45063.115835950455</v>
          </cell>
          <cell r="I184">
            <v>4122725.0470572808</v>
          </cell>
          <cell r="J184">
            <v>10818445.111900654</v>
          </cell>
        </row>
        <row r="185">
          <cell r="A185">
            <v>168</v>
          </cell>
          <cell r="B185">
            <v>49426</v>
          </cell>
          <cell r="C185">
            <v>4122725.0470572808</v>
          </cell>
          <cell r="D185">
            <v>82010.299789481243</v>
          </cell>
          <cell r="E185">
            <v>0</v>
          </cell>
          <cell r="F185">
            <v>82010.299789481243</v>
          </cell>
          <cell r="G185">
            <v>37347.445113027374</v>
          </cell>
          <cell r="H185">
            <v>44662.85467645387</v>
          </cell>
          <cell r="I185">
            <v>4085377.6019442533</v>
          </cell>
          <cell r="J185">
            <v>10863107.966577107</v>
          </cell>
        </row>
        <row r="186">
          <cell r="A186">
            <v>169</v>
          </cell>
          <cell r="B186">
            <v>49456</v>
          </cell>
          <cell r="C186">
            <v>4085377.6019442533</v>
          </cell>
          <cell r="D186">
            <v>82010.299789481243</v>
          </cell>
          <cell r="E186">
            <v>0</v>
          </cell>
          <cell r="F186">
            <v>82010.299789481243</v>
          </cell>
          <cell r="G186">
            <v>37752.042435085168</v>
          </cell>
          <cell r="H186">
            <v>44258.257354396075</v>
          </cell>
          <cell r="I186">
            <v>4047625.5595091684</v>
          </cell>
          <cell r="J186">
            <v>10907366.223931503</v>
          </cell>
        </row>
        <row r="187">
          <cell r="A187">
            <v>170</v>
          </cell>
          <cell r="B187">
            <v>49487</v>
          </cell>
          <cell r="C187">
            <v>4047625.5595091684</v>
          </cell>
          <cell r="D187">
            <v>82010.299789481243</v>
          </cell>
          <cell r="E187">
            <v>0</v>
          </cell>
          <cell r="F187">
            <v>82010.299789481243</v>
          </cell>
          <cell r="G187">
            <v>38161.022894798582</v>
          </cell>
          <cell r="H187">
            <v>43849.276894682662</v>
          </cell>
          <cell r="I187">
            <v>4009464.5366143696</v>
          </cell>
          <cell r="J187">
            <v>10951215.500826186</v>
          </cell>
        </row>
        <row r="188">
          <cell r="A188">
            <v>171</v>
          </cell>
          <cell r="B188">
            <v>49517</v>
          </cell>
          <cell r="C188">
            <v>4009464.5366143696</v>
          </cell>
          <cell r="D188">
            <v>82010.299789481243</v>
          </cell>
          <cell r="E188">
            <v>0</v>
          </cell>
          <cell r="F188">
            <v>82010.299789481243</v>
          </cell>
          <cell r="G188">
            <v>38574.4339761589</v>
          </cell>
          <cell r="H188">
            <v>43435.865813322343</v>
          </cell>
          <cell r="I188">
            <v>3970890.1026382106</v>
          </cell>
          <cell r="J188">
            <v>10994651.366639508</v>
          </cell>
        </row>
        <row r="189">
          <cell r="A189">
            <v>172</v>
          </cell>
          <cell r="B189">
            <v>49548</v>
          </cell>
          <cell r="C189">
            <v>3970890.1026382106</v>
          </cell>
          <cell r="D189">
            <v>82010.299789481243</v>
          </cell>
          <cell r="E189">
            <v>0</v>
          </cell>
          <cell r="F189">
            <v>82010.299789481243</v>
          </cell>
          <cell r="G189">
            <v>38992.323677567292</v>
          </cell>
          <cell r="H189">
            <v>43017.976111913951</v>
          </cell>
          <cell r="I189">
            <v>3931897.7789606433</v>
          </cell>
          <cell r="J189">
            <v>11037669.342751421</v>
          </cell>
        </row>
        <row r="190">
          <cell r="A190">
            <v>173</v>
          </cell>
          <cell r="B190">
            <v>49579</v>
          </cell>
          <cell r="C190">
            <v>3931897.7789606433</v>
          </cell>
          <cell r="D190">
            <v>82010.299789481243</v>
          </cell>
          <cell r="E190">
            <v>0</v>
          </cell>
          <cell r="F190">
            <v>82010.299789481243</v>
          </cell>
          <cell r="G190">
            <v>39414.740517407605</v>
          </cell>
          <cell r="H190">
            <v>42595.559272073639</v>
          </cell>
          <cell r="I190">
            <v>3892483.0384432357</v>
          </cell>
          <cell r="J190">
            <v>11080264.902023494</v>
          </cell>
        </row>
        <row r="191">
          <cell r="A191">
            <v>174</v>
          </cell>
          <cell r="B191">
            <v>49609</v>
          </cell>
          <cell r="C191">
            <v>3892483.0384432357</v>
          </cell>
          <cell r="D191">
            <v>82010.299789481243</v>
          </cell>
          <cell r="E191">
            <v>0</v>
          </cell>
          <cell r="F191">
            <v>82010.299789481243</v>
          </cell>
          <cell r="G191">
            <v>39841.733539679524</v>
          </cell>
          <cell r="H191">
            <v>42168.566249801719</v>
          </cell>
          <cell r="I191">
            <v>3852641.3049035561</v>
          </cell>
          <cell r="J191">
            <v>11122433.468273295</v>
          </cell>
        </row>
        <row r="192">
          <cell r="A192">
            <v>175</v>
          </cell>
          <cell r="B192">
            <v>49640</v>
          </cell>
          <cell r="C192">
            <v>3852641.3049035561</v>
          </cell>
          <cell r="D192">
            <v>82010.299789481243</v>
          </cell>
          <cell r="E192">
            <v>0</v>
          </cell>
          <cell r="F192">
            <v>82010.299789481243</v>
          </cell>
          <cell r="G192">
            <v>40273.35231969272</v>
          </cell>
          <cell r="H192">
            <v>41736.947469788523</v>
          </cell>
          <cell r="I192">
            <v>3812367.9525838634</v>
          </cell>
          <cell r="J192">
            <v>11164170.415743083</v>
          </cell>
        </row>
        <row r="193">
          <cell r="A193">
            <v>176</v>
          </cell>
          <cell r="B193">
            <v>49670</v>
          </cell>
          <cell r="C193">
            <v>3812367.9525838634</v>
          </cell>
          <cell r="D193">
            <v>82010.299789481243</v>
          </cell>
          <cell r="E193">
            <v>0</v>
          </cell>
          <cell r="F193">
            <v>82010.299789481243</v>
          </cell>
          <cell r="G193">
            <v>40709.646969822723</v>
          </cell>
          <cell r="H193">
            <v>41300.65281965852</v>
          </cell>
          <cell r="I193">
            <v>3771658.3056140407</v>
          </cell>
          <cell r="J193">
            <v>11205471.06856274</v>
          </cell>
        </row>
        <row r="194">
          <cell r="A194">
            <v>177</v>
          </cell>
          <cell r="B194">
            <v>49701</v>
          </cell>
          <cell r="C194">
            <v>3771658.3056140407</v>
          </cell>
          <cell r="D194">
            <v>82010.299789481243</v>
          </cell>
          <cell r="E194">
            <v>0</v>
          </cell>
          <cell r="F194">
            <v>82010.299789481243</v>
          </cell>
          <cell r="G194">
            <v>41150.668145329131</v>
          </cell>
          <cell r="H194">
            <v>40859.631644152112</v>
          </cell>
          <cell r="I194">
            <v>3730507.6374687115</v>
          </cell>
          <cell r="J194">
            <v>11246330.700206893</v>
          </cell>
        </row>
        <row r="195">
          <cell r="A195">
            <v>178</v>
          </cell>
          <cell r="B195">
            <v>49732</v>
          </cell>
          <cell r="C195">
            <v>3730507.6374687115</v>
          </cell>
          <cell r="D195">
            <v>82010.299789481243</v>
          </cell>
          <cell r="E195">
            <v>0</v>
          </cell>
          <cell r="F195">
            <v>82010.299789481243</v>
          </cell>
          <cell r="G195">
            <v>41596.467050236868</v>
          </cell>
          <cell r="H195">
            <v>40413.832739244375</v>
          </cell>
          <cell r="I195">
            <v>3688911.1704184748</v>
          </cell>
          <cell r="J195">
            <v>11286744.532946138</v>
          </cell>
        </row>
        <row r="196">
          <cell r="A196">
            <v>179</v>
          </cell>
          <cell r="B196">
            <v>49761</v>
          </cell>
          <cell r="C196">
            <v>3688911.1704184748</v>
          </cell>
          <cell r="D196">
            <v>82010.299789481243</v>
          </cell>
          <cell r="E196">
            <v>0</v>
          </cell>
          <cell r="F196">
            <v>82010.299789481243</v>
          </cell>
          <cell r="G196">
            <v>42047.095443281098</v>
          </cell>
          <cell r="H196">
            <v>39963.204346200146</v>
          </cell>
          <cell r="I196">
            <v>3646864.0749751939</v>
          </cell>
          <cell r="J196">
            <v>11326707.737292338</v>
          </cell>
        </row>
        <row r="197">
          <cell r="A197">
            <v>180</v>
          </cell>
          <cell r="B197">
            <v>49792</v>
          </cell>
          <cell r="C197">
            <v>3646864.0749751939</v>
          </cell>
          <cell r="D197">
            <v>82010.299789481243</v>
          </cell>
          <cell r="E197">
            <v>0</v>
          </cell>
          <cell r="F197">
            <v>82010.299789481243</v>
          </cell>
          <cell r="G197">
            <v>42502.605643916642</v>
          </cell>
          <cell r="H197">
            <v>39507.694145564601</v>
          </cell>
          <cell r="I197">
            <v>3604361.4693312775</v>
          </cell>
          <cell r="J197">
            <v>11366215.431437902</v>
          </cell>
        </row>
        <row r="198">
          <cell r="A198">
            <v>181</v>
          </cell>
          <cell r="B198">
            <v>49822</v>
          </cell>
          <cell r="C198">
            <v>3604361.4693312775</v>
          </cell>
          <cell r="D198">
            <v>82010.299789481243</v>
          </cell>
          <cell r="E198">
            <v>0</v>
          </cell>
          <cell r="F198">
            <v>82010.299789481243</v>
          </cell>
          <cell r="G198">
            <v>42963.050538392403</v>
          </cell>
          <cell r="H198">
            <v>39047.249251088841</v>
          </cell>
          <cell r="I198">
            <v>3561398.4187928853</v>
          </cell>
          <cell r="J198">
            <v>11405262.68068899</v>
          </cell>
        </row>
        <row r="199">
          <cell r="A199">
            <v>182</v>
          </cell>
          <cell r="B199">
            <v>49853</v>
          </cell>
          <cell r="C199">
            <v>3561398.4187928853</v>
          </cell>
          <cell r="D199">
            <v>82010.299789481243</v>
          </cell>
          <cell r="E199">
            <v>0</v>
          </cell>
          <cell r="F199">
            <v>82010.299789481243</v>
          </cell>
          <cell r="G199">
            <v>43428.483585891656</v>
          </cell>
          <cell r="H199">
            <v>38581.816203589588</v>
          </cell>
          <cell r="I199">
            <v>3517969.9352069935</v>
          </cell>
          <cell r="J199">
            <v>11443844.496892581</v>
          </cell>
        </row>
        <row r="200">
          <cell r="A200">
            <v>183</v>
          </cell>
          <cell r="B200">
            <v>49883</v>
          </cell>
          <cell r="C200">
            <v>3517969.9352069935</v>
          </cell>
          <cell r="D200">
            <v>82010.299789481243</v>
          </cell>
          <cell r="E200">
            <v>0</v>
          </cell>
          <cell r="F200">
            <v>82010.299789481243</v>
          </cell>
          <cell r="G200">
            <v>43898.958824738809</v>
          </cell>
          <cell r="H200">
            <v>38111.340964742434</v>
          </cell>
          <cell r="I200">
            <v>3474070.9763822546</v>
          </cell>
          <cell r="J200">
            <v>11481955.837857323</v>
          </cell>
        </row>
        <row r="201">
          <cell r="A201">
            <v>184</v>
          </cell>
          <cell r="B201">
            <v>49914</v>
          </cell>
          <cell r="C201">
            <v>3474070.9763822546</v>
          </cell>
          <cell r="D201">
            <v>82010.299789481243</v>
          </cell>
          <cell r="E201">
            <v>0</v>
          </cell>
          <cell r="F201">
            <v>82010.299789481243</v>
          </cell>
          <cell r="G201">
            <v>44374.530878673482</v>
          </cell>
          <cell r="H201">
            <v>37635.768910807761</v>
          </cell>
          <cell r="I201">
            <v>3429696.4455035813</v>
          </cell>
          <cell r="J201">
            <v>11519591.606768131</v>
          </cell>
        </row>
        <row r="202">
          <cell r="A202">
            <v>185</v>
          </cell>
          <cell r="B202">
            <v>49945</v>
          </cell>
          <cell r="C202">
            <v>3429696.4455035813</v>
          </cell>
          <cell r="D202">
            <v>82010.299789481243</v>
          </cell>
          <cell r="E202">
            <v>0</v>
          </cell>
          <cell r="F202">
            <v>82010.299789481243</v>
          </cell>
          <cell r="G202">
            <v>44855.254963192441</v>
          </cell>
          <cell r="H202">
            <v>37155.044826288802</v>
          </cell>
          <cell r="I202">
            <v>3384841.1905403887</v>
          </cell>
          <cell r="J202">
            <v>11556746.651594421</v>
          </cell>
        </row>
        <row r="203">
          <cell r="A203">
            <v>186</v>
          </cell>
          <cell r="B203">
            <v>49975</v>
          </cell>
          <cell r="C203">
            <v>3384841.1905403887</v>
          </cell>
          <cell r="D203">
            <v>82010.299789481243</v>
          </cell>
          <cell r="E203">
            <v>0</v>
          </cell>
          <cell r="F203">
            <v>82010.299789481243</v>
          </cell>
          <cell r="G203">
            <v>45341.186891960366</v>
          </cell>
          <cell r="H203">
            <v>36669.112897520878</v>
          </cell>
          <cell r="I203">
            <v>3339500.0036484282</v>
          </cell>
          <cell r="J203">
            <v>11593415.764491942</v>
          </cell>
        </row>
        <row r="204">
          <cell r="A204">
            <v>187</v>
          </cell>
          <cell r="B204">
            <v>50006</v>
          </cell>
          <cell r="C204">
            <v>3339500.0036484282</v>
          </cell>
          <cell r="D204">
            <v>82010.299789481243</v>
          </cell>
          <cell r="E204">
            <v>0</v>
          </cell>
          <cell r="F204">
            <v>82010.299789481243</v>
          </cell>
          <cell r="G204">
            <v>45832.383083289933</v>
          </cell>
          <cell r="H204">
            <v>36177.91670619131</v>
          </cell>
          <cell r="I204">
            <v>3293667.6205651383</v>
          </cell>
          <cell r="J204">
            <v>11629593.681198133</v>
          </cell>
        </row>
        <row r="205">
          <cell r="A205">
            <v>188</v>
          </cell>
          <cell r="B205">
            <v>50036</v>
          </cell>
          <cell r="C205">
            <v>3293667.6205651383</v>
          </cell>
          <cell r="D205">
            <v>82010.299789481243</v>
          </cell>
          <cell r="E205">
            <v>0</v>
          </cell>
          <cell r="F205">
            <v>82010.299789481243</v>
          </cell>
          <cell r="G205">
            <v>46328.900566692246</v>
          </cell>
          <cell r="H205">
            <v>35681.399222788998</v>
          </cell>
          <cell r="I205">
            <v>3247338.7199984458</v>
          </cell>
          <cell r="J205">
            <v>11665275.080420922</v>
          </cell>
        </row>
        <row r="206">
          <cell r="A206">
            <v>189</v>
          </cell>
          <cell r="B206">
            <v>50067</v>
          </cell>
          <cell r="C206">
            <v>3247338.7199984458</v>
          </cell>
          <cell r="D206">
            <v>82010.299789481243</v>
          </cell>
          <cell r="E206">
            <v>0</v>
          </cell>
          <cell r="F206">
            <v>82010.299789481243</v>
          </cell>
          <cell r="G206">
            <v>46830.796989498078</v>
          </cell>
          <cell r="H206">
            <v>35179.502799983165</v>
          </cell>
          <cell r="I206">
            <v>3200507.9230089476</v>
          </cell>
          <cell r="J206">
            <v>11700454.583220907</v>
          </cell>
        </row>
        <row r="207">
          <cell r="A207">
            <v>190</v>
          </cell>
          <cell r="B207">
            <v>50098</v>
          </cell>
          <cell r="C207">
            <v>3200507.9230089476</v>
          </cell>
          <cell r="D207">
            <v>82010.299789481243</v>
          </cell>
          <cell r="E207">
            <v>0</v>
          </cell>
          <cell r="F207">
            <v>82010.299789481243</v>
          </cell>
          <cell r="G207">
            <v>47338.130623550976</v>
          </cell>
          <cell r="H207">
            <v>34672.169165930267</v>
          </cell>
          <cell r="I207">
            <v>3153169.7923853965</v>
          </cell>
          <cell r="J207">
            <v>11735126.752386836</v>
          </cell>
        </row>
        <row r="208">
          <cell r="A208">
            <v>191</v>
          </cell>
          <cell r="B208">
            <v>50126</v>
          </cell>
          <cell r="C208">
            <v>3153169.7923853965</v>
          </cell>
          <cell r="D208">
            <v>82010.299789481243</v>
          </cell>
          <cell r="E208">
            <v>0</v>
          </cell>
          <cell r="F208">
            <v>82010.299789481243</v>
          </cell>
          <cell r="G208">
            <v>47850.960371972782</v>
          </cell>
          <cell r="H208">
            <v>34159.339417508461</v>
          </cell>
          <cell r="I208">
            <v>3105318.8320134236</v>
          </cell>
          <cell r="J208">
            <v>11769286.091804344</v>
          </cell>
        </row>
        <row r="209">
          <cell r="A209">
            <v>192</v>
          </cell>
          <cell r="B209">
            <v>50157</v>
          </cell>
          <cell r="C209">
            <v>3105318.8320134236</v>
          </cell>
          <cell r="D209">
            <v>82010.299789481243</v>
          </cell>
          <cell r="E209">
            <v>0</v>
          </cell>
          <cell r="F209">
            <v>82010.299789481243</v>
          </cell>
          <cell r="G209">
            <v>48369.345776002483</v>
          </cell>
          <cell r="H209">
            <v>33640.95401347876</v>
          </cell>
          <cell r="I209">
            <v>3056949.4862374212</v>
          </cell>
          <cell r="J209">
            <v>11802927.045817822</v>
          </cell>
        </row>
        <row r="210">
          <cell r="A210">
            <v>193</v>
          </cell>
          <cell r="B210">
            <v>50187</v>
          </cell>
          <cell r="C210">
            <v>3056949.4862374212</v>
          </cell>
          <cell r="D210">
            <v>82010.299789481243</v>
          </cell>
          <cell r="E210">
            <v>0</v>
          </cell>
          <cell r="F210">
            <v>82010.299789481243</v>
          </cell>
          <cell r="G210">
            <v>48893.347021909176</v>
          </cell>
          <cell r="H210">
            <v>33116.952767572067</v>
          </cell>
          <cell r="I210">
            <v>3008056.1392155122</v>
          </cell>
          <cell r="J210">
            <v>11836043.998585394</v>
          </cell>
        </row>
        <row r="211">
          <cell r="A211">
            <v>194</v>
          </cell>
          <cell r="B211">
            <v>50218</v>
          </cell>
          <cell r="C211">
            <v>3008056.1392155122</v>
          </cell>
          <cell r="D211">
            <v>82010.299789481243</v>
          </cell>
          <cell r="E211">
            <v>0</v>
          </cell>
          <cell r="F211">
            <v>82010.299789481243</v>
          </cell>
          <cell r="G211">
            <v>49423.024947979866</v>
          </cell>
          <cell r="H211">
            <v>32587.274841501381</v>
          </cell>
          <cell r="I211">
            <v>2958633.1142675322</v>
          </cell>
          <cell r="J211">
            <v>11868631.273426896</v>
          </cell>
        </row>
        <row r="212">
          <cell r="A212">
            <v>195</v>
          </cell>
          <cell r="B212">
            <v>50248</v>
          </cell>
          <cell r="C212">
            <v>2958633.1142675322</v>
          </cell>
          <cell r="D212">
            <v>82010.299789481243</v>
          </cell>
          <cell r="E212">
            <v>0</v>
          </cell>
          <cell r="F212">
            <v>82010.299789481243</v>
          </cell>
          <cell r="G212">
            <v>49958.44105158298</v>
          </cell>
          <cell r="H212">
            <v>32051.858737898267</v>
          </cell>
          <cell r="I212">
            <v>2908674.6732159494</v>
          </cell>
          <cell r="J212">
            <v>11900683.132164795</v>
          </cell>
        </row>
        <row r="213">
          <cell r="A213">
            <v>196</v>
          </cell>
          <cell r="B213">
            <v>50279</v>
          </cell>
          <cell r="C213">
            <v>2908674.6732159494</v>
          </cell>
          <cell r="D213">
            <v>82010.299789481243</v>
          </cell>
          <cell r="E213">
            <v>0</v>
          </cell>
          <cell r="F213">
            <v>82010.299789481243</v>
          </cell>
          <cell r="G213">
            <v>50499.657496308457</v>
          </cell>
          <cell r="H213">
            <v>31510.642293172787</v>
          </cell>
          <cell r="I213">
            <v>2858175.015719641</v>
          </cell>
          <cell r="J213">
            <v>11932193.774457967</v>
          </cell>
        </row>
        <row r="214">
          <cell r="A214">
            <v>197</v>
          </cell>
          <cell r="B214">
            <v>50310</v>
          </cell>
          <cell r="C214">
            <v>2858175.015719641</v>
          </cell>
          <cell r="D214">
            <v>82010.299789481243</v>
          </cell>
          <cell r="E214">
            <v>0</v>
          </cell>
          <cell r="F214">
            <v>82010.299789481243</v>
          </cell>
          <cell r="G214">
            <v>51046.737119185127</v>
          </cell>
          <cell r="H214">
            <v>30963.562670296113</v>
          </cell>
          <cell r="I214">
            <v>2807128.2786004557</v>
          </cell>
          <cell r="J214">
            <v>11963157.337128263</v>
          </cell>
        </row>
        <row r="215">
          <cell r="A215">
            <v>198</v>
          </cell>
          <cell r="B215">
            <v>50340</v>
          </cell>
          <cell r="C215">
            <v>2807128.2786004557</v>
          </cell>
          <cell r="D215">
            <v>82010.299789481243</v>
          </cell>
          <cell r="E215">
            <v>0</v>
          </cell>
          <cell r="F215">
            <v>82010.299789481243</v>
          </cell>
          <cell r="G215">
            <v>51599.7434379763</v>
          </cell>
          <cell r="H215">
            <v>30410.55635150494</v>
          </cell>
          <cell r="I215">
            <v>2755528.5351624796</v>
          </cell>
          <cell r="J215">
            <v>11993567.893479768</v>
          </cell>
        </row>
        <row r="216">
          <cell r="A216">
            <v>199</v>
          </cell>
          <cell r="B216">
            <v>50371</v>
          </cell>
          <cell r="C216">
            <v>2755528.5351624796</v>
          </cell>
          <cell r="D216">
            <v>82010.299789481243</v>
          </cell>
          <cell r="E216">
            <v>0</v>
          </cell>
          <cell r="F216">
            <v>82010.299789481243</v>
          </cell>
          <cell r="G216">
            <v>52158.740658554379</v>
          </cell>
          <cell r="H216">
            <v>29851.559130926864</v>
          </cell>
          <cell r="I216">
            <v>2703369.7945039254</v>
          </cell>
          <cell r="J216">
            <v>12023419.452610696</v>
          </cell>
        </row>
        <row r="217">
          <cell r="A217">
            <v>200</v>
          </cell>
          <cell r="B217">
            <v>50401</v>
          </cell>
          <cell r="C217">
            <v>2703369.7945039254</v>
          </cell>
          <cell r="D217">
            <v>82010.299789481243</v>
          </cell>
          <cell r="E217">
            <v>0</v>
          </cell>
          <cell r="F217">
            <v>82010.299789481243</v>
          </cell>
          <cell r="G217">
            <v>52723.79368235539</v>
          </cell>
          <cell r="H217">
            <v>29286.506107125857</v>
          </cell>
          <cell r="I217">
            <v>2650646.0008215699</v>
          </cell>
          <cell r="J217">
            <v>12052705.958717821</v>
          </cell>
        </row>
        <row r="218">
          <cell r="A218">
            <v>201</v>
          </cell>
          <cell r="B218">
            <v>50432</v>
          </cell>
          <cell r="C218">
            <v>2650646.0008215699</v>
          </cell>
          <cell r="D218">
            <v>82010.299789481243</v>
          </cell>
          <cell r="E218">
            <v>0</v>
          </cell>
          <cell r="F218">
            <v>82010.299789481243</v>
          </cell>
          <cell r="G218">
            <v>53294.968113914234</v>
          </cell>
          <cell r="H218">
            <v>28715.331675567009</v>
          </cell>
          <cell r="I218">
            <v>2597351.0327076558</v>
          </cell>
          <cell r="J218">
            <v>12081421.290393388</v>
          </cell>
        </row>
        <row r="219">
          <cell r="A219">
            <v>202</v>
          </cell>
          <cell r="B219">
            <v>50463</v>
          </cell>
          <cell r="C219">
            <v>2597351.0327076558</v>
          </cell>
          <cell r="D219">
            <v>82010.299789481243</v>
          </cell>
          <cell r="E219">
            <v>0</v>
          </cell>
          <cell r="F219">
            <v>82010.299789481243</v>
          </cell>
          <cell r="G219">
            <v>53872.330268481644</v>
          </cell>
          <cell r="H219">
            <v>28137.969520999603</v>
          </cell>
          <cell r="I219">
            <v>2543478.7024391741</v>
          </cell>
          <cell r="J219">
            <v>12109559.259914387</v>
          </cell>
        </row>
        <row r="220">
          <cell r="A220">
            <v>203</v>
          </cell>
          <cell r="B220">
            <v>50491</v>
          </cell>
          <cell r="C220">
            <v>2543478.7024391741</v>
          </cell>
          <cell r="D220">
            <v>82010.299789481243</v>
          </cell>
          <cell r="E220">
            <v>0</v>
          </cell>
          <cell r="F220">
            <v>82010.299789481243</v>
          </cell>
          <cell r="G220">
            <v>54455.947179723516</v>
          </cell>
          <cell r="H220">
            <v>27554.352609757723</v>
          </cell>
          <cell r="I220">
            <v>2489022.7552594505</v>
          </cell>
          <cell r="J220">
            <v>12137113.612524144</v>
          </cell>
        </row>
        <row r="221">
          <cell r="A221">
            <v>204</v>
          </cell>
          <cell r="B221">
            <v>50522</v>
          </cell>
          <cell r="C221">
            <v>2489022.7552594505</v>
          </cell>
          <cell r="D221">
            <v>82010.299789481243</v>
          </cell>
          <cell r="E221">
            <v>0</v>
          </cell>
          <cell r="F221">
            <v>82010.299789481243</v>
          </cell>
          <cell r="G221">
            <v>55045.886607503868</v>
          </cell>
          <cell r="H221">
            <v>26964.413181977379</v>
          </cell>
          <cell r="I221">
            <v>2433976.8686519465</v>
          </cell>
          <cell r="J221">
            <v>12164078.025706122</v>
          </cell>
        </row>
        <row r="222">
          <cell r="A222">
            <v>205</v>
          </cell>
          <cell r="B222">
            <v>50552</v>
          </cell>
          <cell r="C222">
            <v>2433976.8686519465</v>
          </cell>
          <cell r="D222">
            <v>82010.299789481243</v>
          </cell>
          <cell r="E222">
            <v>0</v>
          </cell>
          <cell r="F222">
            <v>82010.299789481243</v>
          </cell>
          <cell r="G222">
            <v>55642.217045751822</v>
          </cell>
          <cell r="H222">
            <v>26368.082743729421</v>
          </cell>
          <cell r="I222">
            <v>2378334.6516061947</v>
          </cell>
          <cell r="J222">
            <v>12190446.10844985</v>
          </cell>
        </row>
        <row r="223">
          <cell r="A223">
            <v>206</v>
          </cell>
          <cell r="B223">
            <v>50583</v>
          </cell>
          <cell r="C223">
            <v>2378334.6516061947</v>
          </cell>
          <cell r="D223">
            <v>82010.299789481243</v>
          </cell>
          <cell r="E223">
            <v>0</v>
          </cell>
          <cell r="F223">
            <v>82010.299789481243</v>
          </cell>
          <cell r="G223">
            <v>56245.00773041413</v>
          </cell>
          <cell r="H223">
            <v>25765.292059067109</v>
          </cell>
          <cell r="I223">
            <v>2322089.6438757805</v>
          </cell>
          <cell r="J223">
            <v>12216211.400508918</v>
          </cell>
        </row>
        <row r="224">
          <cell r="A224">
            <v>207</v>
          </cell>
          <cell r="B224">
            <v>50613</v>
          </cell>
          <cell r="C224">
            <v>2322089.6438757805</v>
          </cell>
          <cell r="D224">
            <v>82010.299789481243</v>
          </cell>
          <cell r="E224">
            <v>0</v>
          </cell>
          <cell r="F224">
            <v>82010.299789481243</v>
          </cell>
          <cell r="G224">
            <v>56854.328647493618</v>
          </cell>
          <cell r="H224">
            <v>25155.971141987622</v>
          </cell>
          <cell r="I224">
            <v>2265235.3152282871</v>
          </cell>
          <cell r="J224">
            <v>12241367.371650906</v>
          </cell>
        </row>
        <row r="225">
          <cell r="A225">
            <v>208</v>
          </cell>
          <cell r="B225">
            <v>50644</v>
          </cell>
          <cell r="C225">
            <v>2265235.3152282871</v>
          </cell>
          <cell r="D225">
            <v>82010.299789481243</v>
          </cell>
          <cell r="E225">
            <v>0</v>
          </cell>
          <cell r="F225">
            <v>82010.299789481243</v>
          </cell>
          <cell r="G225">
            <v>57470.250541174799</v>
          </cell>
          <cell r="H225">
            <v>24540.049248306444</v>
          </cell>
          <cell r="I225">
            <v>2207765.0646871123</v>
          </cell>
          <cell r="J225">
            <v>12265907.420899212</v>
          </cell>
        </row>
        <row r="226">
          <cell r="A226">
            <v>209</v>
          </cell>
          <cell r="B226">
            <v>50675</v>
          </cell>
          <cell r="C226">
            <v>2207765.0646871123</v>
          </cell>
          <cell r="D226">
            <v>82010.299789481243</v>
          </cell>
          <cell r="E226">
            <v>0</v>
          </cell>
          <cell r="F226">
            <v>82010.299789481243</v>
          </cell>
          <cell r="G226">
            <v>58092.844922037519</v>
          </cell>
          <cell r="H226">
            <v>23917.454867443721</v>
          </cell>
          <cell r="I226">
            <v>2149672.219765075</v>
          </cell>
          <cell r="J226">
            <v>12289824.875766655</v>
          </cell>
        </row>
        <row r="227">
          <cell r="A227">
            <v>210</v>
          </cell>
          <cell r="B227">
            <v>50705</v>
          </cell>
          <cell r="C227">
            <v>2149672.219765075</v>
          </cell>
          <cell r="D227">
            <v>82010.299789481243</v>
          </cell>
          <cell r="E227">
            <v>0</v>
          </cell>
          <cell r="F227">
            <v>82010.299789481243</v>
          </cell>
          <cell r="G227">
            <v>58722.18407535959</v>
          </cell>
          <cell r="H227">
            <v>23288.11571412165</v>
          </cell>
          <cell r="I227">
            <v>2090950.0356897155</v>
          </cell>
          <cell r="J227">
            <v>12313112.991480777</v>
          </cell>
        </row>
        <row r="228">
          <cell r="A228">
            <v>211</v>
          </cell>
          <cell r="B228">
            <v>50736</v>
          </cell>
          <cell r="C228">
            <v>2090950.0356897155</v>
          </cell>
          <cell r="D228">
            <v>82010.299789481243</v>
          </cell>
          <cell r="E228">
            <v>0</v>
          </cell>
          <cell r="F228">
            <v>82010.299789481243</v>
          </cell>
          <cell r="G228">
            <v>59358.341069509319</v>
          </cell>
          <cell r="H228">
            <v>22651.958719971921</v>
          </cell>
          <cell r="I228">
            <v>2031591.6946202063</v>
          </cell>
          <cell r="J228">
            <v>12335764.95020075</v>
          </cell>
        </row>
        <row r="229">
          <cell r="A229">
            <v>212</v>
          </cell>
          <cell r="B229">
            <v>50766</v>
          </cell>
          <cell r="C229">
            <v>2031591.6946202063</v>
          </cell>
          <cell r="D229">
            <v>82010.299789481243</v>
          </cell>
          <cell r="E229">
            <v>0</v>
          </cell>
          <cell r="F229">
            <v>82010.299789481243</v>
          </cell>
          <cell r="G229">
            <v>60001.389764429012</v>
          </cell>
          <cell r="H229">
            <v>22008.910025052235</v>
          </cell>
          <cell r="I229">
            <v>1971590.3048557772</v>
          </cell>
          <cell r="J229">
            <v>12357773.860225802</v>
          </cell>
        </row>
        <row r="230">
          <cell r="A230">
            <v>213</v>
          </cell>
          <cell r="B230">
            <v>50797</v>
          </cell>
          <cell r="C230">
            <v>1971590.3048557772</v>
          </cell>
          <cell r="D230">
            <v>82010.299789481243</v>
          </cell>
          <cell r="E230">
            <v>0</v>
          </cell>
          <cell r="F230">
            <v>82010.299789481243</v>
          </cell>
          <cell r="G230">
            <v>60651.404820210322</v>
          </cell>
          <cell r="H230">
            <v>21358.894969270921</v>
          </cell>
          <cell r="I230">
            <v>1910938.9000355669</v>
          </cell>
          <cell r="J230">
            <v>12379132.755195074</v>
          </cell>
        </row>
        <row r="231">
          <cell r="A231">
            <v>214</v>
          </cell>
          <cell r="B231">
            <v>50828</v>
          </cell>
          <cell r="C231">
            <v>1910938.9000355669</v>
          </cell>
          <cell r="D231">
            <v>82010.299789481243</v>
          </cell>
          <cell r="E231">
            <v>0</v>
          </cell>
          <cell r="F231">
            <v>82010.299789481243</v>
          </cell>
          <cell r="G231">
            <v>61308.461705762602</v>
          </cell>
          <cell r="H231">
            <v>20701.838083718641</v>
          </cell>
          <cell r="I231">
            <v>1849630.4383298042</v>
          </cell>
          <cell r="J231">
            <v>12399834.593278792</v>
          </cell>
        </row>
        <row r="232">
          <cell r="A232">
            <v>215</v>
          </cell>
          <cell r="B232">
            <v>50856</v>
          </cell>
          <cell r="C232">
            <v>1849630.4383298042</v>
          </cell>
          <cell r="D232">
            <v>82010.299789481243</v>
          </cell>
          <cell r="E232">
            <v>0</v>
          </cell>
          <cell r="F232">
            <v>82010.299789481243</v>
          </cell>
          <cell r="G232">
            <v>61972.636707575031</v>
          </cell>
          <cell r="H232">
            <v>20037.663081906212</v>
          </cell>
          <cell r="I232">
            <v>1787657.8016222292</v>
          </cell>
          <cell r="J232">
            <v>12419872.256360698</v>
          </cell>
        </row>
        <row r="233">
          <cell r="A233">
            <v>216</v>
          </cell>
          <cell r="B233">
            <v>50887</v>
          </cell>
          <cell r="C233">
            <v>1787657.8016222292</v>
          </cell>
          <cell r="D233">
            <v>82010.299789481243</v>
          </cell>
          <cell r="E233">
            <v>0</v>
          </cell>
          <cell r="F233">
            <v>82010.299789481243</v>
          </cell>
          <cell r="G233">
            <v>62644.006938573759</v>
          </cell>
          <cell r="H233">
            <v>19366.292850907481</v>
          </cell>
          <cell r="I233">
            <v>1725013.7946836555</v>
          </cell>
          <cell r="J233">
            <v>12439238.549211606</v>
          </cell>
        </row>
        <row r="234">
          <cell r="A234">
            <v>217</v>
          </cell>
          <cell r="B234">
            <v>50917</v>
          </cell>
          <cell r="C234">
            <v>1725013.7946836555</v>
          </cell>
          <cell r="D234">
            <v>82010.299789481243</v>
          </cell>
          <cell r="E234">
            <v>0</v>
          </cell>
          <cell r="F234">
            <v>82010.299789481243</v>
          </cell>
          <cell r="G234">
            <v>63322.650347074974</v>
          </cell>
          <cell r="H234">
            <v>18687.649442406269</v>
          </cell>
          <cell r="I234">
            <v>1661691.1443365805</v>
          </cell>
          <cell r="J234">
            <v>12457926.198654013</v>
          </cell>
        </row>
        <row r="235">
          <cell r="A235">
            <v>218</v>
          </cell>
          <cell r="B235">
            <v>50948</v>
          </cell>
          <cell r="C235">
            <v>1661691.1443365805</v>
          </cell>
          <cell r="D235">
            <v>82010.299789481243</v>
          </cell>
          <cell r="E235">
            <v>0</v>
          </cell>
          <cell r="F235">
            <v>82010.299789481243</v>
          </cell>
          <cell r="G235">
            <v>64008.645725834955</v>
          </cell>
          <cell r="H235">
            <v>18001.654063646289</v>
          </cell>
          <cell r="I235">
            <v>1597682.4986107456</v>
          </cell>
          <cell r="J235">
            <v>12475927.852717659</v>
          </cell>
        </row>
        <row r="236">
          <cell r="A236">
            <v>219</v>
          </cell>
          <cell r="B236">
            <v>50978</v>
          </cell>
          <cell r="C236">
            <v>1597682.4986107456</v>
          </cell>
          <cell r="D236">
            <v>82010.299789481243</v>
          </cell>
          <cell r="E236">
            <v>0</v>
          </cell>
          <cell r="F236">
            <v>82010.299789481243</v>
          </cell>
          <cell r="G236">
            <v>64702.072721198165</v>
          </cell>
          <cell r="H236">
            <v>17308.227068283079</v>
          </cell>
          <cell r="I236">
            <v>1532980.4258895474</v>
          </cell>
          <cell r="J236">
            <v>12493236.079785941</v>
          </cell>
        </row>
        <row r="237">
          <cell r="A237">
            <v>220</v>
          </cell>
          <cell r="B237">
            <v>51009</v>
          </cell>
          <cell r="C237">
            <v>1532980.4258895474</v>
          </cell>
          <cell r="D237">
            <v>82010.299789481243</v>
          </cell>
          <cell r="E237">
            <v>0</v>
          </cell>
          <cell r="F237">
            <v>82010.299789481243</v>
          </cell>
          <cell r="G237">
            <v>65403.01184234448</v>
          </cell>
          <cell r="H237">
            <v>16607.287947136767</v>
          </cell>
          <cell r="I237">
            <v>1467577.414047203</v>
          </cell>
          <cell r="J237">
            <v>12509843.367733078</v>
          </cell>
        </row>
        <row r="238">
          <cell r="A238">
            <v>221</v>
          </cell>
          <cell r="B238">
            <v>51040</v>
          </cell>
          <cell r="C238">
            <v>1467577.414047203</v>
          </cell>
          <cell r="D238">
            <v>82010.299789481243</v>
          </cell>
          <cell r="E238">
            <v>0</v>
          </cell>
          <cell r="F238">
            <v>82010.299789481243</v>
          </cell>
          <cell r="G238">
            <v>66111.544470636538</v>
          </cell>
          <cell r="H238">
            <v>15898.7553188447</v>
          </cell>
          <cell r="I238">
            <v>1401465.8695765664</v>
          </cell>
          <cell r="J238">
            <v>12525742.123051923</v>
          </cell>
        </row>
        <row r="239">
          <cell r="A239">
            <v>222</v>
          </cell>
          <cell r="B239">
            <v>51070</v>
          </cell>
          <cell r="C239">
            <v>1401465.8695765664</v>
          </cell>
          <cell r="D239">
            <v>82010.299789481243</v>
          </cell>
          <cell r="E239">
            <v>0</v>
          </cell>
          <cell r="F239">
            <v>82010.299789481243</v>
          </cell>
          <cell r="G239">
            <v>66827.752869068441</v>
          </cell>
          <cell r="H239">
            <v>15182.546920412802</v>
          </cell>
          <cell r="I239">
            <v>1334638.116707498</v>
          </cell>
          <cell r="J239">
            <v>12540924.669972336</v>
          </cell>
        </row>
        <row r="240">
          <cell r="A240">
            <v>223</v>
          </cell>
          <cell r="B240">
            <v>51101</v>
          </cell>
          <cell r="C240">
            <v>1334638.116707498</v>
          </cell>
          <cell r="D240">
            <v>82010.299789481243</v>
          </cell>
          <cell r="E240">
            <v>0</v>
          </cell>
          <cell r="F240">
            <v>82010.299789481243</v>
          </cell>
          <cell r="G240">
            <v>67551.720191816683</v>
          </cell>
          <cell r="H240">
            <v>14458.579597664562</v>
          </cell>
          <cell r="I240">
            <v>1267086.3965156814</v>
          </cell>
          <cell r="J240">
            <v>12555383.249570001</v>
          </cell>
        </row>
        <row r="241">
          <cell r="A241">
            <v>224</v>
          </cell>
          <cell r="B241">
            <v>51131</v>
          </cell>
          <cell r="C241">
            <v>1267086.3965156814</v>
          </cell>
          <cell r="D241">
            <v>82010.299789481243</v>
          </cell>
          <cell r="E241">
            <v>0</v>
          </cell>
          <cell r="F241">
            <v>82010.299789481243</v>
          </cell>
          <cell r="G241">
            <v>68283.530493894694</v>
          </cell>
          <cell r="H241">
            <v>13726.76929558655</v>
          </cell>
          <cell r="I241">
            <v>1198802.8660217868</v>
          </cell>
          <cell r="J241">
            <v>12569110.018865587</v>
          </cell>
        </row>
        <row r="242">
          <cell r="A242">
            <v>225</v>
          </cell>
          <cell r="B242">
            <v>51162</v>
          </cell>
          <cell r="C242">
            <v>1198802.8660217868</v>
          </cell>
          <cell r="D242">
            <v>82010.299789481243</v>
          </cell>
          <cell r="E242">
            <v>0</v>
          </cell>
          <cell r="F242">
            <v>82010.299789481243</v>
          </cell>
          <cell r="G242">
            <v>69023.268740911881</v>
          </cell>
          <cell r="H242">
            <v>12987.031048569357</v>
          </cell>
          <cell r="I242">
            <v>1129779.5972808748</v>
          </cell>
          <cell r="J242">
            <v>12582097.049914157</v>
          </cell>
        </row>
        <row r="243">
          <cell r="A243">
            <v>226</v>
          </cell>
          <cell r="B243">
            <v>51193</v>
          </cell>
          <cell r="C243">
            <v>1129779.5972808748</v>
          </cell>
          <cell r="D243">
            <v>82010.299789481243</v>
          </cell>
          <cell r="E243">
            <v>0</v>
          </cell>
          <cell r="F243">
            <v>82010.299789481243</v>
          </cell>
          <cell r="G243">
            <v>69771.020818938428</v>
          </cell>
          <cell r="H243">
            <v>12239.278970542809</v>
          </cell>
          <cell r="I243">
            <v>1060008.5764619363</v>
          </cell>
          <cell r="J243">
            <v>12594336.3288847</v>
          </cell>
        </row>
        <row r="244">
          <cell r="A244">
            <v>227</v>
          </cell>
          <cell r="B244">
            <v>51222</v>
          </cell>
          <cell r="C244">
            <v>1060008.5764619363</v>
          </cell>
          <cell r="D244">
            <v>82010.299789481243</v>
          </cell>
          <cell r="E244">
            <v>0</v>
          </cell>
          <cell r="F244">
            <v>82010.299789481243</v>
          </cell>
          <cell r="G244">
            <v>70526.873544476926</v>
          </cell>
          <cell r="H244">
            <v>11483.42624500431</v>
          </cell>
          <cell r="I244">
            <v>989481.70291745942</v>
          </cell>
          <cell r="J244">
            <v>12605819.755129704</v>
          </cell>
        </row>
        <row r="245">
          <cell r="A245">
            <v>228</v>
          </cell>
          <cell r="B245">
            <v>51253</v>
          </cell>
          <cell r="C245">
            <v>989481.70291745942</v>
          </cell>
          <cell r="D245">
            <v>82010.299789481243</v>
          </cell>
          <cell r="E245">
            <v>0</v>
          </cell>
          <cell r="F245">
            <v>82010.299789481243</v>
          </cell>
          <cell r="G245">
            <v>71290.914674542102</v>
          </cell>
          <cell r="H245">
            <v>10719.385114939143</v>
          </cell>
          <cell r="I245">
            <v>918190.78824291728</v>
          </cell>
          <cell r="J245">
            <v>12616539.140244644</v>
          </cell>
        </row>
        <row r="246">
          <cell r="A246">
            <v>229</v>
          </cell>
          <cell r="B246">
            <v>51283</v>
          </cell>
          <cell r="C246">
            <v>918190.78824291728</v>
          </cell>
          <cell r="D246">
            <v>82010.299789481243</v>
          </cell>
          <cell r="E246">
            <v>0</v>
          </cell>
          <cell r="F246">
            <v>82010.299789481243</v>
          </cell>
          <cell r="G246">
            <v>72063.232916849636</v>
          </cell>
          <cell r="H246">
            <v>9947.0668726316053</v>
          </cell>
          <cell r="I246">
            <v>846127.55532606761</v>
          </cell>
          <cell r="J246">
            <v>12626486.207117276</v>
          </cell>
        </row>
        <row r="247">
          <cell r="A247">
            <v>230</v>
          </cell>
          <cell r="B247">
            <v>51314</v>
          </cell>
          <cell r="C247">
            <v>846127.55532606761</v>
          </cell>
          <cell r="D247">
            <v>82010.299789481243</v>
          </cell>
          <cell r="E247">
            <v>0</v>
          </cell>
          <cell r="F247">
            <v>82010.299789481243</v>
          </cell>
          <cell r="G247">
            <v>72843.917940115512</v>
          </cell>
          <cell r="H247">
            <v>9166.3818493657327</v>
          </cell>
          <cell r="I247">
            <v>773283.63738595205</v>
          </cell>
          <cell r="J247">
            <v>12635652.588966642</v>
          </cell>
        </row>
        <row r="248">
          <cell r="A248">
            <v>231</v>
          </cell>
          <cell r="B248">
            <v>51344</v>
          </cell>
          <cell r="C248">
            <v>773283.63738595205</v>
          </cell>
          <cell r="D248">
            <v>82010.299789481243</v>
          </cell>
          <cell r="E248">
            <v>0</v>
          </cell>
          <cell r="F248">
            <v>82010.299789481243</v>
          </cell>
          <cell r="G248">
            <v>73633.060384466764</v>
          </cell>
          <cell r="H248">
            <v>8377.2394050144812</v>
          </cell>
          <cell r="I248">
            <v>699650.57700148528</v>
          </cell>
          <cell r="J248">
            <v>12644029.828371655</v>
          </cell>
        </row>
        <row r="249">
          <cell r="A249">
            <v>232</v>
          </cell>
          <cell r="B249">
            <v>51375</v>
          </cell>
          <cell r="C249">
            <v>699650.57700148528</v>
          </cell>
          <cell r="D249">
            <v>82010.299789481243</v>
          </cell>
          <cell r="E249">
            <v>0</v>
          </cell>
          <cell r="F249">
            <v>82010.299789481243</v>
          </cell>
          <cell r="G249">
            <v>74430.751871965156</v>
          </cell>
          <cell r="H249">
            <v>7579.5479175160908</v>
          </cell>
          <cell r="I249">
            <v>625219.82512952015</v>
          </cell>
          <cell r="J249">
            <v>12651609.376289172</v>
          </cell>
        </row>
        <row r="250">
          <cell r="A250">
            <v>233</v>
          </cell>
          <cell r="B250">
            <v>51406</v>
          </cell>
          <cell r="C250">
            <v>625219.82512952015</v>
          </cell>
          <cell r="D250">
            <v>82010.299789481243</v>
          </cell>
          <cell r="E250">
            <v>0</v>
          </cell>
          <cell r="F250">
            <v>82010.299789481243</v>
          </cell>
          <cell r="G250">
            <v>75237.085017244768</v>
          </cell>
          <cell r="H250">
            <v>6773.214772236468</v>
          </cell>
          <cell r="I250">
            <v>549982.74011227535</v>
          </cell>
          <cell r="J250">
            <v>12658382.591061408</v>
          </cell>
        </row>
        <row r="251">
          <cell r="A251">
            <v>234</v>
          </cell>
          <cell r="B251">
            <v>51436</v>
          </cell>
          <cell r="C251">
            <v>549982.74011227535</v>
          </cell>
          <cell r="D251">
            <v>82010.299789481243</v>
          </cell>
          <cell r="E251">
            <v>0</v>
          </cell>
          <cell r="F251">
            <v>82010.299789481243</v>
          </cell>
          <cell r="G251">
            <v>76052.153438264926</v>
          </cell>
          <cell r="H251">
            <v>5958.1463512163164</v>
          </cell>
          <cell r="I251">
            <v>473930.58667401044</v>
          </cell>
          <cell r="J251">
            <v>12664340.737412624</v>
          </cell>
        </row>
        <row r="252">
          <cell r="A252">
            <v>235</v>
          </cell>
          <cell r="B252">
            <v>51467</v>
          </cell>
          <cell r="C252">
            <v>473930.58667401044</v>
          </cell>
          <cell r="D252">
            <v>82010.299789481243</v>
          </cell>
          <cell r="E252">
            <v>0</v>
          </cell>
          <cell r="F252">
            <v>82010.299789481243</v>
          </cell>
          <cell r="G252">
            <v>76876.051767179466</v>
          </cell>
          <cell r="H252">
            <v>5134.2480223017801</v>
          </cell>
          <cell r="I252">
            <v>397054.53490683099</v>
          </cell>
          <cell r="J252">
            <v>12669474.985434925</v>
          </cell>
        </row>
        <row r="253">
          <cell r="A253">
            <v>236</v>
          </cell>
          <cell r="B253">
            <v>51497</v>
          </cell>
          <cell r="C253">
            <v>397054.53490683099</v>
          </cell>
          <cell r="D253">
            <v>82010.299789481243</v>
          </cell>
          <cell r="E253">
            <v>0</v>
          </cell>
          <cell r="F253">
            <v>82010.299789481243</v>
          </cell>
          <cell r="G253">
            <v>77708.875661323909</v>
          </cell>
          <cell r="H253">
            <v>4301.4241281573359</v>
          </cell>
          <cell r="I253">
            <v>319345.65924550709</v>
          </cell>
          <cell r="J253">
            <v>12673776.409563083</v>
          </cell>
        </row>
        <row r="254">
          <cell r="A254">
            <v>237</v>
          </cell>
          <cell r="B254">
            <v>51528</v>
          </cell>
          <cell r="C254">
            <v>319345.65924550709</v>
          </cell>
          <cell r="D254">
            <v>82010.299789481243</v>
          </cell>
          <cell r="E254">
            <v>0</v>
          </cell>
          <cell r="F254">
            <v>82010.299789481243</v>
          </cell>
          <cell r="G254">
            <v>78550.721814321587</v>
          </cell>
          <cell r="H254">
            <v>3459.5779751596601</v>
          </cell>
          <cell r="I254">
            <v>240794.93743118551</v>
          </cell>
          <cell r="J254">
            <v>12677235.987538243</v>
          </cell>
        </row>
        <row r="255">
          <cell r="A255">
            <v>238</v>
          </cell>
          <cell r="B255">
            <v>51559</v>
          </cell>
          <cell r="C255">
            <v>240794.93743118551</v>
          </cell>
          <cell r="D255">
            <v>82010.299789481243</v>
          </cell>
          <cell r="E255">
            <v>0</v>
          </cell>
          <cell r="F255">
            <v>82010.299789481243</v>
          </cell>
          <cell r="G255">
            <v>79401.687967310063</v>
          </cell>
          <cell r="H255">
            <v>2608.6118221711763</v>
          </cell>
          <cell r="I255">
            <v>161393.24946387543</v>
          </cell>
          <cell r="J255">
            <v>12679844.599360414</v>
          </cell>
        </row>
        <row r="256">
          <cell r="A256">
            <v>239</v>
          </cell>
          <cell r="B256">
            <v>51587</v>
          </cell>
          <cell r="C256">
            <v>161393.24946387543</v>
          </cell>
          <cell r="D256">
            <v>82010.299789481243</v>
          </cell>
          <cell r="E256">
            <v>0</v>
          </cell>
          <cell r="F256">
            <v>82010.299789481243</v>
          </cell>
          <cell r="G256">
            <v>80261.872920289257</v>
          </cell>
          <cell r="H256">
            <v>1748.426869191984</v>
          </cell>
          <cell r="I256">
            <v>81131.376543586171</v>
          </cell>
          <cell r="J256">
            <v>12681593.026229605</v>
          </cell>
        </row>
        <row r="257">
          <cell r="A257">
            <v>240</v>
          </cell>
          <cell r="B257">
            <v>51618</v>
          </cell>
          <cell r="C257">
            <v>81131.376543586171</v>
          </cell>
          <cell r="D257">
            <v>82010.299789481243</v>
          </cell>
          <cell r="E257">
            <v>0</v>
          </cell>
          <cell r="F257">
            <v>81131.376543586171</v>
          </cell>
          <cell r="G257">
            <v>80252.453297697328</v>
          </cell>
          <cell r="H257">
            <v>878.92324588885015</v>
          </cell>
          <cell r="I257">
            <v>0</v>
          </cell>
          <cell r="J257">
            <v>12682471.949475493</v>
          </cell>
        </row>
        <row r="258">
          <cell r="A258">
            <v>241</v>
          </cell>
          <cell r="B258">
            <v>51648</v>
          </cell>
          <cell r="C258">
            <v>0</v>
          </cell>
          <cell r="D258">
            <v>82010.299789481243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12682471.949475493</v>
          </cell>
        </row>
        <row r="259">
          <cell r="A259">
            <v>242</v>
          </cell>
          <cell r="B259">
            <v>51679</v>
          </cell>
          <cell r="C259">
            <v>0</v>
          </cell>
          <cell r="D259">
            <v>82010.299789481243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12682471.949475493</v>
          </cell>
        </row>
        <row r="260">
          <cell r="A260">
            <v>243</v>
          </cell>
          <cell r="B260">
            <v>51709</v>
          </cell>
          <cell r="C260">
            <v>0</v>
          </cell>
          <cell r="D260">
            <v>82010.299789481243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12682471.949475493</v>
          </cell>
        </row>
        <row r="261">
          <cell r="A261">
            <v>244</v>
          </cell>
          <cell r="B261">
            <v>51740</v>
          </cell>
          <cell r="C261">
            <v>0</v>
          </cell>
          <cell r="D261">
            <v>82010.299789481243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12682471.949475493</v>
          </cell>
        </row>
        <row r="262">
          <cell r="A262">
            <v>245</v>
          </cell>
          <cell r="B262">
            <v>51771</v>
          </cell>
          <cell r="C262">
            <v>0</v>
          </cell>
          <cell r="D262">
            <v>82010.299789481243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12682471.949475493</v>
          </cell>
        </row>
        <row r="263">
          <cell r="A263">
            <v>246</v>
          </cell>
          <cell r="B263">
            <v>51801</v>
          </cell>
          <cell r="C263">
            <v>0</v>
          </cell>
          <cell r="D263">
            <v>82010.299789481243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12682471.949475493</v>
          </cell>
        </row>
        <row r="264">
          <cell r="A264">
            <v>247</v>
          </cell>
          <cell r="B264">
            <v>51832</v>
          </cell>
          <cell r="C264">
            <v>0</v>
          </cell>
          <cell r="D264">
            <v>82010.299789481243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12682471.949475493</v>
          </cell>
        </row>
        <row r="265">
          <cell r="A265">
            <v>248</v>
          </cell>
          <cell r="B265">
            <v>51862</v>
          </cell>
          <cell r="C265">
            <v>0</v>
          </cell>
          <cell r="D265">
            <v>82010.299789481243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12682471.949475493</v>
          </cell>
        </row>
        <row r="266">
          <cell r="A266">
            <v>249</v>
          </cell>
          <cell r="B266">
            <v>51893</v>
          </cell>
          <cell r="C266">
            <v>0</v>
          </cell>
          <cell r="D266">
            <v>82010.299789481243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12682471.949475493</v>
          </cell>
        </row>
        <row r="267">
          <cell r="A267">
            <v>250</v>
          </cell>
          <cell r="B267">
            <v>51924</v>
          </cell>
          <cell r="C267">
            <v>0</v>
          </cell>
          <cell r="D267">
            <v>82010.299789481243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12682471.949475493</v>
          </cell>
        </row>
        <row r="268">
          <cell r="A268">
            <v>251</v>
          </cell>
          <cell r="B268">
            <v>51952</v>
          </cell>
          <cell r="C268">
            <v>0</v>
          </cell>
          <cell r="D268">
            <v>82010.299789481243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12682471.949475493</v>
          </cell>
        </row>
        <row r="269">
          <cell r="A269">
            <v>252</v>
          </cell>
          <cell r="B269">
            <v>51983</v>
          </cell>
          <cell r="C269">
            <v>0</v>
          </cell>
          <cell r="D269">
            <v>82010.299789481243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12682471.949475493</v>
          </cell>
        </row>
        <row r="270">
          <cell r="A270">
            <v>253</v>
          </cell>
          <cell r="B270">
            <v>52013</v>
          </cell>
          <cell r="C270">
            <v>0</v>
          </cell>
          <cell r="D270">
            <v>82010.299789481243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12682471.949475493</v>
          </cell>
        </row>
        <row r="271">
          <cell r="A271">
            <v>254</v>
          </cell>
          <cell r="B271">
            <v>52044</v>
          </cell>
          <cell r="C271">
            <v>0</v>
          </cell>
          <cell r="D271">
            <v>82010.299789481243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12682471.949475493</v>
          </cell>
        </row>
        <row r="272">
          <cell r="A272">
            <v>255</v>
          </cell>
          <cell r="B272">
            <v>52074</v>
          </cell>
          <cell r="C272">
            <v>0</v>
          </cell>
          <cell r="D272">
            <v>82010.299789481243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12682471.949475493</v>
          </cell>
        </row>
        <row r="273">
          <cell r="A273">
            <v>256</v>
          </cell>
          <cell r="B273">
            <v>52105</v>
          </cell>
          <cell r="C273">
            <v>0</v>
          </cell>
          <cell r="D273">
            <v>82010.299789481243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12682471.949475493</v>
          </cell>
        </row>
        <row r="274">
          <cell r="A274">
            <v>257</v>
          </cell>
          <cell r="B274">
            <v>52136</v>
          </cell>
          <cell r="C274">
            <v>0</v>
          </cell>
          <cell r="D274">
            <v>82010.299789481243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12682471.949475493</v>
          </cell>
        </row>
        <row r="275">
          <cell r="A275">
            <v>258</v>
          </cell>
          <cell r="B275">
            <v>52166</v>
          </cell>
          <cell r="C275">
            <v>0</v>
          </cell>
          <cell r="D275">
            <v>82010.299789481243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12682471.949475493</v>
          </cell>
        </row>
        <row r="276">
          <cell r="A276">
            <v>259</v>
          </cell>
          <cell r="B276">
            <v>52197</v>
          </cell>
          <cell r="C276">
            <v>0</v>
          </cell>
          <cell r="D276">
            <v>82010.299789481243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12682471.949475493</v>
          </cell>
        </row>
        <row r="277">
          <cell r="A277">
            <v>260</v>
          </cell>
          <cell r="B277">
            <v>52227</v>
          </cell>
          <cell r="C277">
            <v>0</v>
          </cell>
          <cell r="D277">
            <v>82010.299789481243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12682471.949475493</v>
          </cell>
        </row>
        <row r="278">
          <cell r="A278">
            <v>261</v>
          </cell>
          <cell r="B278">
            <v>52258</v>
          </cell>
          <cell r="C278">
            <v>0</v>
          </cell>
          <cell r="D278">
            <v>82010.299789481243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12682471.949475493</v>
          </cell>
        </row>
        <row r="279">
          <cell r="A279">
            <v>262</v>
          </cell>
          <cell r="B279">
            <v>52289</v>
          </cell>
          <cell r="C279">
            <v>0</v>
          </cell>
          <cell r="D279">
            <v>82010.299789481243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12682471.949475493</v>
          </cell>
        </row>
        <row r="280">
          <cell r="A280">
            <v>263</v>
          </cell>
          <cell r="B280">
            <v>52317</v>
          </cell>
          <cell r="C280">
            <v>0</v>
          </cell>
          <cell r="D280">
            <v>82010.299789481243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12682471.949475493</v>
          </cell>
        </row>
        <row r="281">
          <cell r="A281">
            <v>264</v>
          </cell>
          <cell r="B281">
            <v>52348</v>
          </cell>
          <cell r="C281">
            <v>0</v>
          </cell>
          <cell r="D281">
            <v>82010.299789481243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12682471.949475493</v>
          </cell>
        </row>
        <row r="282">
          <cell r="A282">
            <v>265</v>
          </cell>
          <cell r="B282">
            <v>52378</v>
          </cell>
          <cell r="C282">
            <v>0</v>
          </cell>
          <cell r="D282">
            <v>82010.299789481243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12682471.949475493</v>
          </cell>
        </row>
        <row r="283">
          <cell r="A283">
            <v>266</v>
          </cell>
          <cell r="B283">
            <v>52409</v>
          </cell>
          <cell r="C283">
            <v>0</v>
          </cell>
          <cell r="D283">
            <v>82010.299789481243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12682471.949475493</v>
          </cell>
        </row>
        <row r="284">
          <cell r="A284">
            <v>267</v>
          </cell>
          <cell r="B284">
            <v>52439</v>
          </cell>
          <cell r="C284">
            <v>0</v>
          </cell>
          <cell r="D284">
            <v>82010.299789481243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12682471.949475493</v>
          </cell>
        </row>
        <row r="285">
          <cell r="A285">
            <v>268</v>
          </cell>
          <cell r="B285">
            <v>52470</v>
          </cell>
          <cell r="C285">
            <v>0</v>
          </cell>
          <cell r="D285">
            <v>82010.299789481243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12682471.949475493</v>
          </cell>
        </row>
        <row r="286">
          <cell r="A286">
            <v>269</v>
          </cell>
          <cell r="B286">
            <v>52501</v>
          </cell>
          <cell r="C286">
            <v>0</v>
          </cell>
          <cell r="D286">
            <v>82010.299789481243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12682471.949475493</v>
          </cell>
        </row>
        <row r="287">
          <cell r="A287">
            <v>270</v>
          </cell>
          <cell r="B287">
            <v>52531</v>
          </cell>
          <cell r="C287">
            <v>0</v>
          </cell>
          <cell r="D287">
            <v>82010.299789481243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12682471.949475493</v>
          </cell>
        </row>
        <row r="288">
          <cell r="A288">
            <v>271</v>
          </cell>
          <cell r="B288">
            <v>52562</v>
          </cell>
          <cell r="C288">
            <v>0</v>
          </cell>
          <cell r="D288">
            <v>82010.299789481243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12682471.949475493</v>
          </cell>
        </row>
        <row r="289">
          <cell r="A289">
            <v>272</v>
          </cell>
          <cell r="B289">
            <v>52592</v>
          </cell>
          <cell r="C289">
            <v>0</v>
          </cell>
          <cell r="D289">
            <v>82010.299789481243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12682471.949475493</v>
          </cell>
        </row>
        <row r="290">
          <cell r="A290">
            <v>273</v>
          </cell>
          <cell r="B290">
            <v>52623</v>
          </cell>
          <cell r="C290">
            <v>0</v>
          </cell>
          <cell r="D290">
            <v>82010.299789481243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12682471.949475493</v>
          </cell>
        </row>
        <row r="291">
          <cell r="A291">
            <v>274</v>
          </cell>
          <cell r="B291">
            <v>52654</v>
          </cell>
          <cell r="C291">
            <v>0</v>
          </cell>
          <cell r="D291">
            <v>82010.299789481243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12682471.949475493</v>
          </cell>
        </row>
        <row r="292">
          <cell r="A292">
            <v>275</v>
          </cell>
          <cell r="B292">
            <v>52683</v>
          </cell>
          <cell r="C292">
            <v>0</v>
          </cell>
          <cell r="D292">
            <v>82010.299789481243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12682471.949475493</v>
          </cell>
        </row>
        <row r="293">
          <cell r="A293">
            <v>276</v>
          </cell>
          <cell r="B293">
            <v>52714</v>
          </cell>
          <cell r="C293">
            <v>0</v>
          </cell>
          <cell r="D293">
            <v>82010.299789481243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12682471.949475493</v>
          </cell>
        </row>
        <row r="294">
          <cell r="A294">
            <v>277</v>
          </cell>
          <cell r="B294">
            <v>52744</v>
          </cell>
          <cell r="C294">
            <v>0</v>
          </cell>
          <cell r="D294">
            <v>82010.299789481243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12682471.949475493</v>
          </cell>
        </row>
        <row r="295">
          <cell r="A295">
            <v>278</v>
          </cell>
          <cell r="B295">
            <v>52775</v>
          </cell>
          <cell r="C295">
            <v>0</v>
          </cell>
          <cell r="D295">
            <v>82010.299789481243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12682471.949475493</v>
          </cell>
        </row>
        <row r="296">
          <cell r="A296">
            <v>279</v>
          </cell>
          <cell r="B296">
            <v>52805</v>
          </cell>
          <cell r="C296">
            <v>0</v>
          </cell>
          <cell r="D296">
            <v>82010.299789481243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12682471.949475493</v>
          </cell>
        </row>
        <row r="297">
          <cell r="A297">
            <v>280</v>
          </cell>
          <cell r="B297">
            <v>52836</v>
          </cell>
          <cell r="C297">
            <v>0</v>
          </cell>
          <cell r="D297">
            <v>82010.299789481243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12682471.949475493</v>
          </cell>
        </row>
        <row r="298">
          <cell r="A298">
            <v>281</v>
          </cell>
          <cell r="B298">
            <v>52867</v>
          </cell>
          <cell r="C298">
            <v>0</v>
          </cell>
          <cell r="D298">
            <v>82010.299789481243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12682471.949475493</v>
          </cell>
        </row>
        <row r="299">
          <cell r="A299">
            <v>282</v>
          </cell>
          <cell r="B299">
            <v>52897</v>
          </cell>
          <cell r="C299">
            <v>0</v>
          </cell>
          <cell r="D299">
            <v>82010.299789481243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12682471.949475493</v>
          </cell>
        </row>
        <row r="300">
          <cell r="A300">
            <v>283</v>
          </cell>
          <cell r="B300">
            <v>52928</v>
          </cell>
          <cell r="C300">
            <v>0</v>
          </cell>
          <cell r="D300">
            <v>82010.299789481243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12682471.949475493</v>
          </cell>
        </row>
        <row r="301">
          <cell r="A301">
            <v>284</v>
          </cell>
          <cell r="B301">
            <v>52958</v>
          </cell>
          <cell r="C301">
            <v>0</v>
          </cell>
          <cell r="D301">
            <v>82010.299789481243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12682471.949475493</v>
          </cell>
        </row>
        <row r="302">
          <cell r="A302">
            <v>285</v>
          </cell>
          <cell r="B302">
            <v>52989</v>
          </cell>
          <cell r="C302">
            <v>0</v>
          </cell>
          <cell r="D302">
            <v>82010.299789481243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12682471.949475493</v>
          </cell>
        </row>
        <row r="303">
          <cell r="A303">
            <v>286</v>
          </cell>
          <cell r="B303">
            <v>53020</v>
          </cell>
          <cell r="C303">
            <v>0</v>
          </cell>
          <cell r="D303">
            <v>82010.299789481243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12682471.949475493</v>
          </cell>
        </row>
        <row r="304">
          <cell r="A304">
            <v>287</v>
          </cell>
          <cell r="B304">
            <v>53048</v>
          </cell>
          <cell r="C304">
            <v>0</v>
          </cell>
          <cell r="D304">
            <v>82010.299789481243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12682471.949475493</v>
          </cell>
        </row>
        <row r="305">
          <cell r="A305">
            <v>288</v>
          </cell>
          <cell r="B305">
            <v>53079</v>
          </cell>
          <cell r="C305">
            <v>0</v>
          </cell>
          <cell r="D305">
            <v>82010.299789481243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12682471.949475493</v>
          </cell>
        </row>
        <row r="306">
          <cell r="A306">
            <v>289</v>
          </cell>
          <cell r="B306">
            <v>53109</v>
          </cell>
          <cell r="C306">
            <v>0</v>
          </cell>
          <cell r="D306">
            <v>82010.299789481243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12682471.949475493</v>
          </cell>
        </row>
        <row r="307">
          <cell r="A307">
            <v>290</v>
          </cell>
          <cell r="B307">
            <v>53140</v>
          </cell>
          <cell r="C307">
            <v>0</v>
          </cell>
          <cell r="D307">
            <v>82010.299789481243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12682471.949475493</v>
          </cell>
        </row>
        <row r="308">
          <cell r="A308">
            <v>291</v>
          </cell>
          <cell r="B308">
            <v>53170</v>
          </cell>
          <cell r="C308">
            <v>0</v>
          </cell>
          <cell r="D308">
            <v>82010.299789481243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12682471.949475493</v>
          </cell>
        </row>
        <row r="309">
          <cell r="A309">
            <v>292</v>
          </cell>
          <cell r="B309">
            <v>53201</v>
          </cell>
          <cell r="C309">
            <v>0</v>
          </cell>
          <cell r="D309">
            <v>82010.299789481243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12682471.949475493</v>
          </cell>
        </row>
        <row r="310">
          <cell r="A310">
            <v>293</v>
          </cell>
          <cell r="B310">
            <v>53232</v>
          </cell>
          <cell r="C310">
            <v>0</v>
          </cell>
          <cell r="D310">
            <v>82010.299789481243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12682471.949475493</v>
          </cell>
        </row>
        <row r="311">
          <cell r="A311">
            <v>294</v>
          </cell>
          <cell r="B311">
            <v>53262</v>
          </cell>
          <cell r="C311">
            <v>0</v>
          </cell>
          <cell r="D311">
            <v>82010.299789481243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12682471.949475493</v>
          </cell>
        </row>
        <row r="312">
          <cell r="A312">
            <v>295</v>
          </cell>
          <cell r="B312">
            <v>53293</v>
          </cell>
          <cell r="C312">
            <v>0</v>
          </cell>
          <cell r="D312">
            <v>82010.299789481243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12682471.949475493</v>
          </cell>
        </row>
        <row r="313">
          <cell r="A313">
            <v>296</v>
          </cell>
          <cell r="B313">
            <v>53323</v>
          </cell>
          <cell r="C313">
            <v>0</v>
          </cell>
          <cell r="D313">
            <v>82010.299789481243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12682471.949475493</v>
          </cell>
        </row>
        <row r="314">
          <cell r="A314">
            <v>297</v>
          </cell>
          <cell r="B314">
            <v>53354</v>
          </cell>
          <cell r="C314">
            <v>0</v>
          </cell>
          <cell r="D314">
            <v>82010.299789481243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12682471.949475493</v>
          </cell>
        </row>
        <row r="315">
          <cell r="A315">
            <v>298</v>
          </cell>
          <cell r="B315">
            <v>53385</v>
          </cell>
          <cell r="C315">
            <v>0</v>
          </cell>
          <cell r="D315">
            <v>82010.299789481243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12682471.949475493</v>
          </cell>
        </row>
        <row r="316">
          <cell r="A316">
            <v>299</v>
          </cell>
          <cell r="B316">
            <v>53413</v>
          </cell>
          <cell r="C316">
            <v>0</v>
          </cell>
          <cell r="D316">
            <v>82010.299789481243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12682471.949475493</v>
          </cell>
        </row>
        <row r="317">
          <cell r="A317">
            <v>300</v>
          </cell>
          <cell r="B317">
            <v>53444</v>
          </cell>
          <cell r="C317">
            <v>0</v>
          </cell>
          <cell r="D317">
            <v>82010.299789481243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12682471.949475493</v>
          </cell>
        </row>
        <row r="318">
          <cell r="A318">
            <v>301</v>
          </cell>
          <cell r="B318">
            <v>53474</v>
          </cell>
          <cell r="C318">
            <v>0</v>
          </cell>
          <cell r="D318">
            <v>82010.299789481243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12682471.949475493</v>
          </cell>
        </row>
        <row r="319">
          <cell r="A319">
            <v>302</v>
          </cell>
          <cell r="B319">
            <v>53505</v>
          </cell>
          <cell r="C319">
            <v>0</v>
          </cell>
          <cell r="D319">
            <v>82010.299789481243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12682471.949475493</v>
          </cell>
        </row>
        <row r="320">
          <cell r="A320">
            <v>303</v>
          </cell>
          <cell r="B320">
            <v>53535</v>
          </cell>
          <cell r="C320">
            <v>0</v>
          </cell>
          <cell r="D320">
            <v>82010.299789481243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12682471.949475493</v>
          </cell>
        </row>
        <row r="321">
          <cell r="A321">
            <v>304</v>
          </cell>
          <cell r="B321">
            <v>53566</v>
          </cell>
          <cell r="C321">
            <v>0</v>
          </cell>
          <cell r="D321">
            <v>82010.299789481243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12682471.949475493</v>
          </cell>
        </row>
        <row r="322">
          <cell r="A322">
            <v>305</v>
          </cell>
          <cell r="B322">
            <v>53597</v>
          </cell>
          <cell r="C322">
            <v>0</v>
          </cell>
          <cell r="D322">
            <v>82010.299789481243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12682471.949475493</v>
          </cell>
        </row>
        <row r="323">
          <cell r="A323">
            <v>306</v>
          </cell>
          <cell r="B323">
            <v>53627</v>
          </cell>
          <cell r="C323">
            <v>0</v>
          </cell>
          <cell r="D323">
            <v>82010.299789481243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12682471.949475493</v>
          </cell>
        </row>
        <row r="324">
          <cell r="A324">
            <v>307</v>
          </cell>
          <cell r="B324">
            <v>53658</v>
          </cell>
          <cell r="C324">
            <v>0</v>
          </cell>
          <cell r="D324">
            <v>82010.299789481243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12682471.949475493</v>
          </cell>
        </row>
        <row r="325">
          <cell r="A325">
            <v>308</v>
          </cell>
          <cell r="B325">
            <v>53688</v>
          </cell>
          <cell r="C325">
            <v>0</v>
          </cell>
          <cell r="D325">
            <v>82010.299789481243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12682471.949475493</v>
          </cell>
        </row>
        <row r="326">
          <cell r="A326">
            <v>309</v>
          </cell>
          <cell r="B326">
            <v>53719</v>
          </cell>
          <cell r="C326">
            <v>0</v>
          </cell>
          <cell r="D326">
            <v>82010.299789481243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12682471.949475493</v>
          </cell>
        </row>
        <row r="327">
          <cell r="A327">
            <v>310</v>
          </cell>
          <cell r="B327">
            <v>53750</v>
          </cell>
          <cell r="C327">
            <v>0</v>
          </cell>
          <cell r="D327">
            <v>82010.299789481243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12682471.949475493</v>
          </cell>
        </row>
        <row r="328">
          <cell r="A328">
            <v>311</v>
          </cell>
          <cell r="B328">
            <v>53778</v>
          </cell>
          <cell r="C328">
            <v>0</v>
          </cell>
          <cell r="D328">
            <v>82010.299789481243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12682471.949475493</v>
          </cell>
        </row>
        <row r="329">
          <cell r="A329">
            <v>312</v>
          </cell>
          <cell r="B329">
            <v>53809</v>
          </cell>
          <cell r="C329">
            <v>0</v>
          </cell>
          <cell r="D329">
            <v>82010.299789481243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12682471.949475493</v>
          </cell>
        </row>
        <row r="330">
          <cell r="A330">
            <v>313</v>
          </cell>
          <cell r="B330">
            <v>53839</v>
          </cell>
          <cell r="C330">
            <v>0</v>
          </cell>
          <cell r="D330">
            <v>82010.299789481243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12682471.949475493</v>
          </cell>
        </row>
        <row r="331">
          <cell r="A331">
            <v>314</v>
          </cell>
          <cell r="B331">
            <v>53870</v>
          </cell>
          <cell r="C331">
            <v>0</v>
          </cell>
          <cell r="D331">
            <v>82010.299789481243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12682471.949475493</v>
          </cell>
        </row>
        <row r="332">
          <cell r="A332">
            <v>315</v>
          </cell>
          <cell r="B332">
            <v>53900</v>
          </cell>
          <cell r="C332">
            <v>0</v>
          </cell>
          <cell r="D332">
            <v>82010.299789481243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12682471.949475493</v>
          </cell>
        </row>
        <row r="333">
          <cell r="A333">
            <v>316</v>
          </cell>
          <cell r="B333">
            <v>53931</v>
          </cell>
          <cell r="C333">
            <v>0</v>
          </cell>
          <cell r="D333">
            <v>82010.299789481243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12682471.949475493</v>
          </cell>
        </row>
        <row r="334">
          <cell r="A334">
            <v>317</v>
          </cell>
          <cell r="B334">
            <v>53962</v>
          </cell>
          <cell r="C334">
            <v>0</v>
          </cell>
          <cell r="D334">
            <v>82010.299789481243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12682471.949475493</v>
          </cell>
        </row>
        <row r="335">
          <cell r="A335">
            <v>318</v>
          </cell>
          <cell r="B335">
            <v>53992</v>
          </cell>
          <cell r="C335">
            <v>0</v>
          </cell>
          <cell r="D335">
            <v>82010.299789481243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12682471.949475493</v>
          </cell>
        </row>
        <row r="336">
          <cell r="A336">
            <v>319</v>
          </cell>
          <cell r="B336">
            <v>54023</v>
          </cell>
          <cell r="C336">
            <v>0</v>
          </cell>
          <cell r="D336">
            <v>82010.299789481243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12682471.949475493</v>
          </cell>
        </row>
        <row r="337">
          <cell r="A337">
            <v>320</v>
          </cell>
          <cell r="B337">
            <v>54053</v>
          </cell>
          <cell r="C337">
            <v>0</v>
          </cell>
          <cell r="D337">
            <v>82010.299789481243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12682471.949475493</v>
          </cell>
        </row>
        <row r="338">
          <cell r="A338">
            <v>321</v>
          </cell>
          <cell r="B338">
            <v>54084</v>
          </cell>
          <cell r="C338">
            <v>0</v>
          </cell>
          <cell r="D338">
            <v>82010.299789481243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12682471.949475493</v>
          </cell>
        </row>
        <row r="339">
          <cell r="A339">
            <v>322</v>
          </cell>
          <cell r="B339">
            <v>54115</v>
          </cell>
          <cell r="C339">
            <v>0</v>
          </cell>
          <cell r="D339">
            <v>82010.299789481243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12682471.949475493</v>
          </cell>
        </row>
        <row r="340">
          <cell r="A340">
            <v>323</v>
          </cell>
          <cell r="B340">
            <v>54144</v>
          </cell>
          <cell r="C340">
            <v>0</v>
          </cell>
          <cell r="D340">
            <v>82010.299789481243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12682471.949475493</v>
          </cell>
        </row>
        <row r="341">
          <cell r="A341">
            <v>324</v>
          </cell>
          <cell r="B341">
            <v>54175</v>
          </cell>
          <cell r="C341">
            <v>0</v>
          </cell>
          <cell r="D341">
            <v>82010.299789481243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12682471.949475493</v>
          </cell>
        </row>
        <row r="342">
          <cell r="A342">
            <v>325</v>
          </cell>
          <cell r="B342">
            <v>54205</v>
          </cell>
          <cell r="C342">
            <v>0</v>
          </cell>
          <cell r="D342">
            <v>82010.299789481243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12682471.949475493</v>
          </cell>
        </row>
        <row r="343">
          <cell r="A343">
            <v>326</v>
          </cell>
          <cell r="B343">
            <v>54236</v>
          </cell>
          <cell r="C343">
            <v>0</v>
          </cell>
          <cell r="D343">
            <v>82010.299789481243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12682471.949475493</v>
          </cell>
        </row>
        <row r="344">
          <cell r="A344">
            <v>327</v>
          </cell>
          <cell r="B344">
            <v>54266</v>
          </cell>
          <cell r="C344">
            <v>0</v>
          </cell>
          <cell r="D344">
            <v>82010.299789481243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12682471.949475493</v>
          </cell>
        </row>
        <row r="345">
          <cell r="A345">
            <v>328</v>
          </cell>
          <cell r="B345">
            <v>54297</v>
          </cell>
          <cell r="C345">
            <v>0</v>
          </cell>
          <cell r="D345">
            <v>82010.299789481243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12682471.949475493</v>
          </cell>
        </row>
        <row r="346">
          <cell r="A346">
            <v>329</v>
          </cell>
          <cell r="B346">
            <v>54328</v>
          </cell>
          <cell r="C346">
            <v>0</v>
          </cell>
          <cell r="D346">
            <v>82010.299789481243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12682471.949475493</v>
          </cell>
        </row>
        <row r="347">
          <cell r="A347">
            <v>330</v>
          </cell>
          <cell r="B347">
            <v>54358</v>
          </cell>
          <cell r="C347">
            <v>0</v>
          </cell>
          <cell r="D347">
            <v>82010.299789481243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12682471.949475493</v>
          </cell>
        </row>
        <row r="348">
          <cell r="A348">
            <v>331</v>
          </cell>
          <cell r="B348">
            <v>54389</v>
          </cell>
          <cell r="C348">
            <v>0</v>
          </cell>
          <cell r="D348">
            <v>82010.299789481243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12682471.949475493</v>
          </cell>
        </row>
        <row r="349">
          <cell r="A349">
            <v>332</v>
          </cell>
          <cell r="B349">
            <v>54419</v>
          </cell>
          <cell r="C349">
            <v>0</v>
          </cell>
          <cell r="D349">
            <v>82010.299789481243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12682471.949475493</v>
          </cell>
        </row>
        <row r="350">
          <cell r="A350">
            <v>333</v>
          </cell>
          <cell r="B350">
            <v>54450</v>
          </cell>
          <cell r="C350">
            <v>0</v>
          </cell>
          <cell r="D350">
            <v>82010.299789481243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12682471.949475493</v>
          </cell>
        </row>
        <row r="351">
          <cell r="A351">
            <v>334</v>
          </cell>
          <cell r="B351">
            <v>54481</v>
          </cell>
          <cell r="C351">
            <v>0</v>
          </cell>
          <cell r="D351">
            <v>82010.299789481243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12682471.949475493</v>
          </cell>
        </row>
        <row r="352">
          <cell r="A352">
            <v>335</v>
          </cell>
          <cell r="B352">
            <v>54509</v>
          </cell>
          <cell r="C352">
            <v>0</v>
          </cell>
          <cell r="D352">
            <v>82010.299789481243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12682471.949475493</v>
          </cell>
        </row>
        <row r="353">
          <cell r="A353">
            <v>336</v>
          </cell>
          <cell r="B353">
            <v>54540</v>
          </cell>
          <cell r="C353">
            <v>0</v>
          </cell>
          <cell r="D353">
            <v>82010.299789481243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12682471.949475493</v>
          </cell>
        </row>
        <row r="354">
          <cell r="A354">
            <v>337</v>
          </cell>
          <cell r="B354">
            <v>54570</v>
          </cell>
          <cell r="C354">
            <v>0</v>
          </cell>
          <cell r="D354">
            <v>82010.299789481243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12682471.949475493</v>
          </cell>
        </row>
        <row r="355">
          <cell r="A355">
            <v>338</v>
          </cell>
          <cell r="B355">
            <v>54601</v>
          </cell>
          <cell r="C355">
            <v>0</v>
          </cell>
          <cell r="D355">
            <v>82010.299789481243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12682471.949475493</v>
          </cell>
        </row>
        <row r="356">
          <cell r="A356">
            <v>339</v>
          </cell>
          <cell r="B356">
            <v>54631</v>
          </cell>
          <cell r="C356">
            <v>0</v>
          </cell>
          <cell r="D356">
            <v>82010.299789481243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12682471.949475493</v>
          </cell>
        </row>
        <row r="357">
          <cell r="A357">
            <v>340</v>
          </cell>
          <cell r="B357">
            <v>54662</v>
          </cell>
          <cell r="C357">
            <v>0</v>
          </cell>
          <cell r="D357">
            <v>82010.299789481243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12682471.949475493</v>
          </cell>
        </row>
        <row r="358">
          <cell r="A358">
            <v>341</v>
          </cell>
          <cell r="B358">
            <v>54693</v>
          </cell>
          <cell r="C358">
            <v>0</v>
          </cell>
          <cell r="D358">
            <v>82010.299789481243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12682471.949475493</v>
          </cell>
        </row>
        <row r="359">
          <cell r="A359">
            <v>342</v>
          </cell>
          <cell r="B359">
            <v>54723</v>
          </cell>
          <cell r="C359">
            <v>0</v>
          </cell>
          <cell r="D359">
            <v>82010.299789481243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12682471.949475493</v>
          </cell>
        </row>
        <row r="360">
          <cell r="A360">
            <v>343</v>
          </cell>
          <cell r="B360">
            <v>54754</v>
          </cell>
          <cell r="C360">
            <v>0</v>
          </cell>
          <cell r="D360">
            <v>82010.299789481243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12682471.949475493</v>
          </cell>
        </row>
        <row r="361">
          <cell r="A361">
            <v>344</v>
          </cell>
          <cell r="B361">
            <v>54784</v>
          </cell>
          <cell r="C361">
            <v>0</v>
          </cell>
          <cell r="D361">
            <v>82010.299789481243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12682471.949475493</v>
          </cell>
        </row>
        <row r="362">
          <cell r="A362">
            <v>345</v>
          </cell>
          <cell r="B362">
            <v>54815</v>
          </cell>
          <cell r="C362">
            <v>0</v>
          </cell>
          <cell r="D362">
            <v>82010.299789481243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12682471.949475493</v>
          </cell>
        </row>
        <row r="363">
          <cell r="A363">
            <v>346</v>
          </cell>
          <cell r="B363">
            <v>54846</v>
          </cell>
          <cell r="C363">
            <v>0</v>
          </cell>
          <cell r="D363">
            <v>82010.299789481243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12682471.949475493</v>
          </cell>
        </row>
        <row r="364">
          <cell r="A364">
            <v>347</v>
          </cell>
          <cell r="B364">
            <v>54874</v>
          </cell>
          <cell r="C364">
            <v>0</v>
          </cell>
          <cell r="D364">
            <v>82010.299789481243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12682471.949475493</v>
          </cell>
        </row>
        <row r="365">
          <cell r="A365">
            <v>348</v>
          </cell>
          <cell r="B365">
            <v>54905</v>
          </cell>
          <cell r="C365">
            <v>0</v>
          </cell>
          <cell r="D365">
            <v>82010.299789481243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12682471.949475493</v>
          </cell>
        </row>
        <row r="366">
          <cell r="A366">
            <v>349</v>
          </cell>
          <cell r="B366">
            <v>54935</v>
          </cell>
          <cell r="C366">
            <v>0</v>
          </cell>
          <cell r="D366">
            <v>82010.299789481243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12682471.949475493</v>
          </cell>
        </row>
        <row r="367">
          <cell r="A367">
            <v>350</v>
          </cell>
          <cell r="B367">
            <v>54966</v>
          </cell>
          <cell r="C367">
            <v>0</v>
          </cell>
          <cell r="D367">
            <v>82010.299789481243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12682471.949475493</v>
          </cell>
        </row>
        <row r="368">
          <cell r="A368">
            <v>351</v>
          </cell>
          <cell r="B368">
            <v>54996</v>
          </cell>
          <cell r="C368">
            <v>0</v>
          </cell>
          <cell r="D368">
            <v>82010.299789481243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12682471.949475493</v>
          </cell>
        </row>
        <row r="369">
          <cell r="A369">
            <v>352</v>
          </cell>
          <cell r="B369">
            <v>55027</v>
          </cell>
          <cell r="C369">
            <v>0</v>
          </cell>
          <cell r="D369">
            <v>82010.299789481243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12682471.949475493</v>
          </cell>
        </row>
        <row r="370">
          <cell r="A370">
            <v>353</v>
          </cell>
          <cell r="B370">
            <v>55058</v>
          </cell>
          <cell r="C370">
            <v>0</v>
          </cell>
          <cell r="D370">
            <v>82010.299789481243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12682471.949475493</v>
          </cell>
        </row>
        <row r="371">
          <cell r="A371">
            <v>354</v>
          </cell>
          <cell r="B371">
            <v>55088</v>
          </cell>
          <cell r="C371">
            <v>0</v>
          </cell>
          <cell r="D371">
            <v>82010.299789481243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12682471.949475493</v>
          </cell>
        </row>
        <row r="372">
          <cell r="A372">
            <v>355</v>
          </cell>
          <cell r="B372">
            <v>55119</v>
          </cell>
          <cell r="C372">
            <v>0</v>
          </cell>
          <cell r="D372">
            <v>82010.299789481243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12682471.949475493</v>
          </cell>
        </row>
        <row r="373">
          <cell r="A373">
            <v>356</v>
          </cell>
          <cell r="B373">
            <v>55149</v>
          </cell>
          <cell r="C373">
            <v>0</v>
          </cell>
          <cell r="D373">
            <v>82010.299789481243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12682471.949475493</v>
          </cell>
        </row>
        <row r="374">
          <cell r="A374">
            <v>357</v>
          </cell>
          <cell r="B374">
            <v>55180</v>
          </cell>
          <cell r="C374">
            <v>0</v>
          </cell>
          <cell r="D374">
            <v>82010.299789481243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12682471.949475493</v>
          </cell>
        </row>
        <row r="375">
          <cell r="A375">
            <v>358</v>
          </cell>
          <cell r="B375">
            <v>55211</v>
          </cell>
          <cell r="C375">
            <v>0</v>
          </cell>
          <cell r="D375">
            <v>82010.299789481243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12682471.949475493</v>
          </cell>
        </row>
        <row r="376">
          <cell r="A376">
            <v>359</v>
          </cell>
          <cell r="B376">
            <v>55239</v>
          </cell>
          <cell r="C376">
            <v>0</v>
          </cell>
          <cell r="D376">
            <v>82010.299789481243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12682471.949475493</v>
          </cell>
        </row>
        <row r="377">
          <cell r="A377">
            <v>360</v>
          </cell>
          <cell r="B377">
            <v>55270</v>
          </cell>
          <cell r="C377">
            <v>0</v>
          </cell>
          <cell r="D377">
            <v>82010.299789481243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12682471.949475493</v>
          </cell>
        </row>
        <row r="378">
          <cell r="A378">
            <v>361</v>
          </cell>
          <cell r="B378">
            <v>55300</v>
          </cell>
          <cell r="C378">
            <v>0</v>
          </cell>
          <cell r="D378">
            <v>82010.299789481243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12682471.949475493</v>
          </cell>
        </row>
        <row r="379">
          <cell r="A379">
            <v>362</v>
          </cell>
          <cell r="B379">
            <v>55331</v>
          </cell>
          <cell r="C379">
            <v>0</v>
          </cell>
          <cell r="D379">
            <v>82010.299789481243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12682471.949475493</v>
          </cell>
        </row>
        <row r="380">
          <cell r="A380">
            <v>363</v>
          </cell>
          <cell r="B380">
            <v>55361</v>
          </cell>
          <cell r="C380">
            <v>0</v>
          </cell>
          <cell r="D380">
            <v>82010.299789481243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12682471.949475493</v>
          </cell>
        </row>
        <row r="381">
          <cell r="A381">
            <v>364</v>
          </cell>
          <cell r="B381">
            <v>55392</v>
          </cell>
          <cell r="C381">
            <v>0</v>
          </cell>
          <cell r="D381">
            <v>82010.299789481243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12682471.949475493</v>
          </cell>
        </row>
        <row r="382">
          <cell r="A382">
            <v>365</v>
          </cell>
          <cell r="B382">
            <v>55423</v>
          </cell>
          <cell r="C382">
            <v>0</v>
          </cell>
          <cell r="D382">
            <v>82010.299789481243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12682471.949475493</v>
          </cell>
        </row>
        <row r="383">
          <cell r="A383">
            <v>366</v>
          </cell>
          <cell r="B383">
            <v>55453</v>
          </cell>
          <cell r="C383">
            <v>0</v>
          </cell>
          <cell r="D383">
            <v>82010.299789481243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12682471.949475493</v>
          </cell>
        </row>
        <row r="384">
          <cell r="A384">
            <v>367</v>
          </cell>
          <cell r="B384">
            <v>55484</v>
          </cell>
          <cell r="C384">
            <v>0</v>
          </cell>
          <cell r="D384">
            <v>82010.299789481243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12682471.949475493</v>
          </cell>
        </row>
        <row r="385">
          <cell r="A385">
            <v>368</v>
          </cell>
          <cell r="B385">
            <v>55514</v>
          </cell>
          <cell r="C385">
            <v>0</v>
          </cell>
          <cell r="D385">
            <v>82010.299789481243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12682471.949475493</v>
          </cell>
        </row>
        <row r="386">
          <cell r="A386">
            <v>369</v>
          </cell>
          <cell r="B386">
            <v>55545</v>
          </cell>
          <cell r="C386">
            <v>0</v>
          </cell>
          <cell r="D386">
            <v>82010.299789481243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12682471.949475493</v>
          </cell>
        </row>
        <row r="387">
          <cell r="A387">
            <v>370</v>
          </cell>
          <cell r="B387">
            <v>55576</v>
          </cell>
          <cell r="C387">
            <v>0</v>
          </cell>
          <cell r="D387">
            <v>82010.299789481243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12682471.949475493</v>
          </cell>
        </row>
        <row r="388">
          <cell r="A388">
            <v>371</v>
          </cell>
          <cell r="B388">
            <v>55605</v>
          </cell>
          <cell r="C388">
            <v>0</v>
          </cell>
          <cell r="D388">
            <v>82010.299789481243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12682471.949475493</v>
          </cell>
        </row>
        <row r="389">
          <cell r="A389">
            <v>372</v>
          </cell>
          <cell r="B389">
            <v>55636</v>
          </cell>
          <cell r="C389">
            <v>0</v>
          </cell>
          <cell r="D389">
            <v>82010.299789481243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12682471.949475493</v>
          </cell>
        </row>
        <row r="390">
          <cell r="A390">
            <v>373</v>
          </cell>
          <cell r="B390">
            <v>55666</v>
          </cell>
          <cell r="C390">
            <v>0</v>
          </cell>
          <cell r="D390">
            <v>82010.299789481243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12682471.949475493</v>
          </cell>
        </row>
        <row r="391">
          <cell r="A391">
            <v>374</v>
          </cell>
          <cell r="B391">
            <v>55697</v>
          </cell>
          <cell r="C391">
            <v>0</v>
          </cell>
          <cell r="D391">
            <v>82010.299789481243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12682471.949475493</v>
          </cell>
        </row>
        <row r="392">
          <cell r="A392">
            <v>375</v>
          </cell>
          <cell r="B392">
            <v>55727</v>
          </cell>
          <cell r="C392">
            <v>0</v>
          </cell>
          <cell r="D392">
            <v>82010.299789481243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12682471.949475493</v>
          </cell>
        </row>
        <row r="393">
          <cell r="A393">
            <v>376</v>
          </cell>
          <cell r="B393">
            <v>55758</v>
          </cell>
          <cell r="C393">
            <v>0</v>
          </cell>
          <cell r="D393">
            <v>82010.299789481243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12682471.949475493</v>
          </cell>
        </row>
        <row r="394">
          <cell r="A394">
            <v>377</v>
          </cell>
          <cell r="B394">
            <v>55789</v>
          </cell>
          <cell r="C394">
            <v>0</v>
          </cell>
          <cell r="D394">
            <v>82010.299789481243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12682471.949475493</v>
          </cell>
        </row>
        <row r="395">
          <cell r="A395">
            <v>378</v>
          </cell>
          <cell r="B395">
            <v>55819</v>
          </cell>
          <cell r="C395">
            <v>0</v>
          </cell>
          <cell r="D395">
            <v>82010.299789481243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12682471.949475493</v>
          </cell>
        </row>
        <row r="396">
          <cell r="A396">
            <v>379</v>
          </cell>
          <cell r="B396">
            <v>55850</v>
          </cell>
          <cell r="C396">
            <v>0</v>
          </cell>
          <cell r="D396">
            <v>82010.299789481243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12682471.949475493</v>
          </cell>
        </row>
        <row r="397">
          <cell r="A397">
            <v>380</v>
          </cell>
          <cell r="B397">
            <v>55880</v>
          </cell>
          <cell r="C397">
            <v>0</v>
          </cell>
          <cell r="D397">
            <v>82010.299789481243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12682471.949475493</v>
          </cell>
        </row>
        <row r="398">
          <cell r="A398">
            <v>381</v>
          </cell>
          <cell r="B398">
            <v>55911</v>
          </cell>
          <cell r="C398">
            <v>0</v>
          </cell>
          <cell r="D398">
            <v>82010.299789481243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12682471.949475493</v>
          </cell>
        </row>
        <row r="399">
          <cell r="A399">
            <v>382</v>
          </cell>
          <cell r="B399">
            <v>55942</v>
          </cell>
          <cell r="C399">
            <v>0</v>
          </cell>
          <cell r="D399">
            <v>82010.299789481243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12682471.949475493</v>
          </cell>
        </row>
        <row r="400">
          <cell r="A400">
            <v>383</v>
          </cell>
          <cell r="B400">
            <v>55970</v>
          </cell>
          <cell r="C400">
            <v>0</v>
          </cell>
          <cell r="D400">
            <v>82010.299789481243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12682471.949475493</v>
          </cell>
        </row>
        <row r="401">
          <cell r="A401">
            <v>384</v>
          </cell>
          <cell r="B401">
            <v>56001</v>
          </cell>
          <cell r="C401">
            <v>0</v>
          </cell>
          <cell r="D401">
            <v>82010.299789481243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12682471.949475493</v>
          </cell>
        </row>
        <row r="402">
          <cell r="A402">
            <v>385</v>
          </cell>
          <cell r="B402">
            <v>56031</v>
          </cell>
          <cell r="C402">
            <v>0</v>
          </cell>
          <cell r="D402">
            <v>82010.299789481243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12682471.949475493</v>
          </cell>
        </row>
        <row r="403">
          <cell r="A403">
            <v>386</v>
          </cell>
          <cell r="B403">
            <v>56062</v>
          </cell>
          <cell r="C403">
            <v>0</v>
          </cell>
          <cell r="D403">
            <v>82010.299789481243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12682471.949475493</v>
          </cell>
        </row>
        <row r="404">
          <cell r="A404">
            <v>387</v>
          </cell>
          <cell r="B404">
            <v>56092</v>
          </cell>
          <cell r="C404">
            <v>0</v>
          </cell>
          <cell r="D404">
            <v>82010.299789481243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12682471.949475493</v>
          </cell>
        </row>
        <row r="405">
          <cell r="A405">
            <v>388</v>
          </cell>
          <cell r="B405">
            <v>56123</v>
          </cell>
          <cell r="C405">
            <v>0</v>
          </cell>
          <cell r="D405">
            <v>82010.299789481243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12682471.949475493</v>
          </cell>
        </row>
        <row r="406">
          <cell r="A406">
            <v>389</v>
          </cell>
          <cell r="B406">
            <v>56154</v>
          </cell>
          <cell r="C406">
            <v>0</v>
          </cell>
          <cell r="D406">
            <v>82010.299789481243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12682471.949475493</v>
          </cell>
        </row>
        <row r="407">
          <cell r="A407">
            <v>390</v>
          </cell>
          <cell r="B407">
            <v>56184</v>
          </cell>
          <cell r="C407">
            <v>0</v>
          </cell>
          <cell r="D407">
            <v>82010.299789481243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12682471.949475493</v>
          </cell>
        </row>
        <row r="408">
          <cell r="A408">
            <v>391</v>
          </cell>
          <cell r="B408">
            <v>56215</v>
          </cell>
          <cell r="C408">
            <v>0</v>
          </cell>
          <cell r="D408">
            <v>82010.299789481243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12682471.949475493</v>
          </cell>
        </row>
        <row r="409">
          <cell r="A409">
            <v>392</v>
          </cell>
          <cell r="B409">
            <v>56245</v>
          </cell>
          <cell r="C409">
            <v>0</v>
          </cell>
          <cell r="D409">
            <v>82010.299789481243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12682471.949475493</v>
          </cell>
        </row>
        <row r="410">
          <cell r="A410">
            <v>393</v>
          </cell>
          <cell r="B410">
            <v>56276</v>
          </cell>
          <cell r="C410">
            <v>0</v>
          </cell>
          <cell r="D410">
            <v>82010.299789481243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12682471.949475493</v>
          </cell>
        </row>
        <row r="411">
          <cell r="A411">
            <v>394</v>
          </cell>
          <cell r="B411">
            <v>56307</v>
          </cell>
          <cell r="C411">
            <v>0</v>
          </cell>
          <cell r="D411">
            <v>82010.299789481243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12682471.949475493</v>
          </cell>
        </row>
        <row r="412">
          <cell r="A412">
            <v>395</v>
          </cell>
          <cell r="B412">
            <v>56335</v>
          </cell>
          <cell r="C412">
            <v>0</v>
          </cell>
          <cell r="D412">
            <v>82010.299789481243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12682471.949475493</v>
          </cell>
        </row>
        <row r="413">
          <cell r="A413">
            <v>396</v>
          </cell>
          <cell r="B413">
            <v>56366</v>
          </cell>
          <cell r="C413">
            <v>0</v>
          </cell>
          <cell r="D413">
            <v>82010.299789481243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12682471.949475493</v>
          </cell>
        </row>
        <row r="414">
          <cell r="A414">
            <v>397</v>
          </cell>
          <cell r="B414">
            <v>56396</v>
          </cell>
          <cell r="C414">
            <v>0</v>
          </cell>
          <cell r="D414">
            <v>82010.299789481243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12682471.949475493</v>
          </cell>
        </row>
        <row r="415">
          <cell r="A415">
            <v>398</v>
          </cell>
          <cell r="B415">
            <v>56427</v>
          </cell>
          <cell r="C415">
            <v>0</v>
          </cell>
          <cell r="D415">
            <v>82010.299789481243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12682471.949475493</v>
          </cell>
        </row>
        <row r="416">
          <cell r="A416">
            <v>399</v>
          </cell>
          <cell r="B416">
            <v>56457</v>
          </cell>
          <cell r="C416">
            <v>0</v>
          </cell>
          <cell r="D416">
            <v>82010.299789481243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12682471.949475493</v>
          </cell>
        </row>
        <row r="417">
          <cell r="A417">
            <v>400</v>
          </cell>
          <cell r="B417">
            <v>56488</v>
          </cell>
          <cell r="C417">
            <v>0</v>
          </cell>
          <cell r="D417">
            <v>82010.299789481243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12682471.949475493</v>
          </cell>
        </row>
        <row r="418">
          <cell r="A418">
            <v>401</v>
          </cell>
          <cell r="B418">
            <v>56519</v>
          </cell>
          <cell r="C418">
            <v>0</v>
          </cell>
          <cell r="D418">
            <v>82010.299789481243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12682471.949475493</v>
          </cell>
        </row>
        <row r="419">
          <cell r="A419">
            <v>402</v>
          </cell>
          <cell r="B419">
            <v>56549</v>
          </cell>
          <cell r="C419">
            <v>0</v>
          </cell>
          <cell r="D419">
            <v>82010.299789481243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12682471.949475493</v>
          </cell>
        </row>
        <row r="420">
          <cell r="A420">
            <v>403</v>
          </cell>
          <cell r="B420">
            <v>56580</v>
          </cell>
          <cell r="C420">
            <v>0</v>
          </cell>
          <cell r="D420">
            <v>82010.299789481243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12682471.949475493</v>
          </cell>
        </row>
        <row r="421">
          <cell r="A421">
            <v>404</v>
          </cell>
          <cell r="B421">
            <v>56610</v>
          </cell>
          <cell r="C421">
            <v>0</v>
          </cell>
          <cell r="D421">
            <v>82010.299789481243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12682471.949475493</v>
          </cell>
        </row>
        <row r="422">
          <cell r="A422">
            <v>405</v>
          </cell>
          <cell r="B422">
            <v>56641</v>
          </cell>
          <cell r="C422">
            <v>0</v>
          </cell>
          <cell r="D422">
            <v>82010.299789481243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12682471.949475493</v>
          </cell>
        </row>
        <row r="423">
          <cell r="A423">
            <v>406</v>
          </cell>
          <cell r="B423">
            <v>56672</v>
          </cell>
          <cell r="C423">
            <v>0</v>
          </cell>
          <cell r="D423">
            <v>82010.299789481243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12682471.949475493</v>
          </cell>
        </row>
        <row r="424">
          <cell r="A424">
            <v>407</v>
          </cell>
          <cell r="B424">
            <v>56700</v>
          </cell>
          <cell r="C424">
            <v>0</v>
          </cell>
          <cell r="D424">
            <v>82010.299789481243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12682471.949475493</v>
          </cell>
        </row>
        <row r="425">
          <cell r="A425">
            <v>408</v>
          </cell>
          <cell r="B425">
            <v>56731</v>
          </cell>
          <cell r="C425">
            <v>0</v>
          </cell>
          <cell r="D425">
            <v>82010.299789481243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12682471.949475493</v>
          </cell>
        </row>
        <row r="426">
          <cell r="A426">
            <v>409</v>
          </cell>
          <cell r="B426">
            <v>56761</v>
          </cell>
          <cell r="C426">
            <v>0</v>
          </cell>
          <cell r="D426">
            <v>82010.299789481243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12682471.949475493</v>
          </cell>
        </row>
        <row r="427">
          <cell r="A427">
            <v>410</v>
          </cell>
          <cell r="B427">
            <v>56792</v>
          </cell>
          <cell r="C427">
            <v>0</v>
          </cell>
          <cell r="D427">
            <v>82010.299789481243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12682471.949475493</v>
          </cell>
        </row>
        <row r="428">
          <cell r="A428">
            <v>411</v>
          </cell>
          <cell r="B428">
            <v>56822</v>
          </cell>
          <cell r="C428">
            <v>0</v>
          </cell>
          <cell r="D428">
            <v>82010.299789481243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12682471.949475493</v>
          </cell>
        </row>
        <row r="429">
          <cell r="A429">
            <v>412</v>
          </cell>
          <cell r="B429">
            <v>56853</v>
          </cell>
          <cell r="C429">
            <v>0</v>
          </cell>
          <cell r="D429">
            <v>82010.299789481243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12682471.949475493</v>
          </cell>
        </row>
        <row r="430">
          <cell r="A430">
            <v>413</v>
          </cell>
          <cell r="B430">
            <v>56884</v>
          </cell>
          <cell r="C430">
            <v>0</v>
          </cell>
          <cell r="D430">
            <v>82010.299789481243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12682471.949475493</v>
          </cell>
        </row>
        <row r="431">
          <cell r="A431">
            <v>414</v>
          </cell>
          <cell r="B431">
            <v>56914</v>
          </cell>
          <cell r="C431">
            <v>0</v>
          </cell>
          <cell r="D431">
            <v>82010.299789481243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12682471.949475493</v>
          </cell>
        </row>
        <row r="432">
          <cell r="A432">
            <v>415</v>
          </cell>
          <cell r="B432">
            <v>56945</v>
          </cell>
          <cell r="C432">
            <v>0</v>
          </cell>
          <cell r="D432">
            <v>82010.299789481243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12682471.949475493</v>
          </cell>
        </row>
        <row r="433">
          <cell r="A433">
            <v>416</v>
          </cell>
          <cell r="B433">
            <v>56975</v>
          </cell>
          <cell r="C433">
            <v>0</v>
          </cell>
          <cell r="D433">
            <v>82010.299789481243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12682471.949475493</v>
          </cell>
        </row>
        <row r="434">
          <cell r="A434">
            <v>417</v>
          </cell>
          <cell r="B434">
            <v>57006</v>
          </cell>
          <cell r="C434">
            <v>0</v>
          </cell>
          <cell r="D434">
            <v>82010.299789481243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12682471.949475493</v>
          </cell>
        </row>
        <row r="435">
          <cell r="A435">
            <v>418</v>
          </cell>
          <cell r="B435">
            <v>57037</v>
          </cell>
          <cell r="C435">
            <v>0</v>
          </cell>
          <cell r="D435">
            <v>82010.299789481243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12682471.949475493</v>
          </cell>
        </row>
        <row r="436">
          <cell r="A436">
            <v>419</v>
          </cell>
          <cell r="B436">
            <v>57066</v>
          </cell>
          <cell r="C436">
            <v>0</v>
          </cell>
          <cell r="D436">
            <v>82010.299789481243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12682471.949475493</v>
          </cell>
        </row>
        <row r="437">
          <cell r="A437">
            <v>420</v>
          </cell>
          <cell r="B437">
            <v>57097</v>
          </cell>
          <cell r="C437">
            <v>0</v>
          </cell>
          <cell r="D437">
            <v>82010.299789481243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12682471.949475493</v>
          </cell>
        </row>
        <row r="438">
          <cell r="A438">
            <v>421</v>
          </cell>
          <cell r="B438">
            <v>57127</v>
          </cell>
          <cell r="C438">
            <v>0</v>
          </cell>
          <cell r="D438">
            <v>82010.299789481243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12682471.949475493</v>
          </cell>
        </row>
        <row r="439">
          <cell r="A439">
            <v>422</v>
          </cell>
          <cell r="B439">
            <v>57158</v>
          </cell>
          <cell r="C439">
            <v>0</v>
          </cell>
          <cell r="D439">
            <v>82010.299789481243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12682471.949475493</v>
          </cell>
        </row>
        <row r="440">
          <cell r="A440">
            <v>423</v>
          </cell>
          <cell r="B440">
            <v>57188</v>
          </cell>
          <cell r="C440">
            <v>0</v>
          </cell>
          <cell r="D440">
            <v>82010.299789481243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12682471.949475493</v>
          </cell>
        </row>
        <row r="441">
          <cell r="A441">
            <v>424</v>
          </cell>
          <cell r="B441">
            <v>57219</v>
          </cell>
          <cell r="C441">
            <v>0</v>
          </cell>
          <cell r="D441">
            <v>82010.299789481243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12682471.949475493</v>
          </cell>
        </row>
        <row r="442">
          <cell r="A442">
            <v>425</v>
          </cell>
          <cell r="B442">
            <v>57250</v>
          </cell>
          <cell r="C442">
            <v>0</v>
          </cell>
          <cell r="D442">
            <v>82010.299789481243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12682471.949475493</v>
          </cell>
        </row>
        <row r="443">
          <cell r="A443">
            <v>426</v>
          </cell>
          <cell r="B443">
            <v>57280</v>
          </cell>
          <cell r="C443">
            <v>0</v>
          </cell>
          <cell r="D443">
            <v>82010.299789481243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12682471.949475493</v>
          </cell>
        </row>
        <row r="444">
          <cell r="A444">
            <v>427</v>
          </cell>
          <cell r="B444">
            <v>57311</v>
          </cell>
          <cell r="C444">
            <v>0</v>
          </cell>
          <cell r="D444">
            <v>82010.299789481243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12682471.949475493</v>
          </cell>
        </row>
        <row r="445">
          <cell r="A445">
            <v>428</v>
          </cell>
          <cell r="B445">
            <v>57341</v>
          </cell>
          <cell r="C445">
            <v>0</v>
          </cell>
          <cell r="D445">
            <v>82010.299789481243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12682471.949475493</v>
          </cell>
        </row>
        <row r="446">
          <cell r="A446">
            <v>429</v>
          </cell>
          <cell r="B446">
            <v>57372</v>
          </cell>
          <cell r="C446">
            <v>0</v>
          </cell>
          <cell r="D446">
            <v>82010.299789481243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12682471.949475493</v>
          </cell>
        </row>
        <row r="447">
          <cell r="A447">
            <v>430</v>
          </cell>
          <cell r="B447">
            <v>57403</v>
          </cell>
          <cell r="C447">
            <v>0</v>
          </cell>
          <cell r="D447">
            <v>82010.299789481243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12682471.949475493</v>
          </cell>
        </row>
        <row r="448">
          <cell r="A448">
            <v>431</v>
          </cell>
          <cell r="B448">
            <v>57431</v>
          </cell>
          <cell r="C448">
            <v>0</v>
          </cell>
          <cell r="D448">
            <v>82010.299789481243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12682471.949475493</v>
          </cell>
        </row>
        <row r="449">
          <cell r="A449">
            <v>432</v>
          </cell>
          <cell r="B449">
            <v>57462</v>
          </cell>
          <cell r="C449">
            <v>0</v>
          </cell>
          <cell r="D449">
            <v>82010.299789481243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12682471.949475493</v>
          </cell>
        </row>
        <row r="450">
          <cell r="A450">
            <v>433</v>
          </cell>
          <cell r="B450">
            <v>57492</v>
          </cell>
          <cell r="C450">
            <v>0</v>
          </cell>
          <cell r="D450">
            <v>82010.299789481243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12682471.949475493</v>
          </cell>
        </row>
        <row r="451">
          <cell r="A451">
            <v>434</v>
          </cell>
          <cell r="B451">
            <v>57523</v>
          </cell>
          <cell r="C451">
            <v>0</v>
          </cell>
          <cell r="D451">
            <v>82010.299789481243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12682471.949475493</v>
          </cell>
        </row>
        <row r="452">
          <cell r="A452">
            <v>435</v>
          </cell>
          <cell r="B452">
            <v>57553</v>
          </cell>
          <cell r="C452">
            <v>0</v>
          </cell>
          <cell r="D452">
            <v>82010.299789481243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12682471.949475493</v>
          </cell>
        </row>
        <row r="453">
          <cell r="A453">
            <v>436</v>
          </cell>
          <cell r="B453">
            <v>57584</v>
          </cell>
          <cell r="C453">
            <v>0</v>
          </cell>
          <cell r="D453">
            <v>82010.299789481243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12682471.949475493</v>
          </cell>
        </row>
        <row r="454">
          <cell r="A454">
            <v>437</v>
          </cell>
          <cell r="B454">
            <v>57615</v>
          </cell>
          <cell r="C454">
            <v>0</v>
          </cell>
          <cell r="D454">
            <v>82010.299789481243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12682471.949475493</v>
          </cell>
        </row>
        <row r="455">
          <cell r="A455">
            <v>438</v>
          </cell>
          <cell r="B455">
            <v>57645</v>
          </cell>
          <cell r="C455">
            <v>0</v>
          </cell>
          <cell r="D455">
            <v>82010.299789481243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12682471.949475493</v>
          </cell>
        </row>
        <row r="456">
          <cell r="A456">
            <v>439</v>
          </cell>
          <cell r="B456">
            <v>57676</v>
          </cell>
          <cell r="C456">
            <v>0</v>
          </cell>
          <cell r="D456">
            <v>82010.299789481243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12682471.949475493</v>
          </cell>
        </row>
        <row r="457">
          <cell r="A457">
            <v>440</v>
          </cell>
          <cell r="B457">
            <v>57706</v>
          </cell>
          <cell r="C457">
            <v>0</v>
          </cell>
          <cell r="D457">
            <v>82010.299789481243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12682471.949475493</v>
          </cell>
        </row>
        <row r="458">
          <cell r="A458">
            <v>441</v>
          </cell>
          <cell r="B458">
            <v>57737</v>
          </cell>
          <cell r="C458">
            <v>0</v>
          </cell>
          <cell r="D458">
            <v>82010.299789481243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12682471.949475493</v>
          </cell>
        </row>
        <row r="459">
          <cell r="A459">
            <v>442</v>
          </cell>
          <cell r="B459">
            <v>57768</v>
          </cell>
          <cell r="C459">
            <v>0</v>
          </cell>
          <cell r="D459">
            <v>82010.299789481243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12682471.949475493</v>
          </cell>
        </row>
        <row r="460">
          <cell r="A460">
            <v>443</v>
          </cell>
          <cell r="B460">
            <v>57796</v>
          </cell>
          <cell r="C460">
            <v>0</v>
          </cell>
          <cell r="D460">
            <v>82010.299789481243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12682471.949475493</v>
          </cell>
        </row>
        <row r="461">
          <cell r="A461">
            <v>444</v>
          </cell>
          <cell r="B461">
            <v>57827</v>
          </cell>
          <cell r="C461">
            <v>0</v>
          </cell>
          <cell r="D461">
            <v>82010.299789481243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12682471.949475493</v>
          </cell>
        </row>
        <row r="462">
          <cell r="A462">
            <v>445</v>
          </cell>
          <cell r="B462">
            <v>57857</v>
          </cell>
          <cell r="C462">
            <v>0</v>
          </cell>
          <cell r="D462">
            <v>82010.299789481243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12682471.949475493</v>
          </cell>
        </row>
        <row r="463">
          <cell r="A463">
            <v>446</v>
          </cell>
          <cell r="B463">
            <v>57888</v>
          </cell>
          <cell r="C463">
            <v>0</v>
          </cell>
          <cell r="D463">
            <v>82010.299789481243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12682471.949475493</v>
          </cell>
        </row>
        <row r="464">
          <cell r="A464">
            <v>447</v>
          </cell>
          <cell r="B464">
            <v>57918</v>
          </cell>
          <cell r="C464">
            <v>0</v>
          </cell>
          <cell r="D464">
            <v>82010.299789481243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12682471.949475493</v>
          </cell>
        </row>
        <row r="465">
          <cell r="A465">
            <v>448</v>
          </cell>
          <cell r="B465">
            <v>57949</v>
          </cell>
          <cell r="C465">
            <v>0</v>
          </cell>
          <cell r="D465">
            <v>82010.299789481243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12682471.949475493</v>
          </cell>
        </row>
        <row r="466">
          <cell r="A466">
            <v>449</v>
          </cell>
          <cell r="B466">
            <v>57980</v>
          </cell>
          <cell r="C466">
            <v>0</v>
          </cell>
          <cell r="D466">
            <v>82010.299789481243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12682471.949475493</v>
          </cell>
        </row>
        <row r="467">
          <cell r="A467">
            <v>450</v>
          </cell>
          <cell r="B467">
            <v>58010</v>
          </cell>
          <cell r="C467">
            <v>0</v>
          </cell>
          <cell r="D467">
            <v>82010.299789481243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12682471.949475493</v>
          </cell>
        </row>
        <row r="468">
          <cell r="A468">
            <v>451</v>
          </cell>
          <cell r="B468">
            <v>58041</v>
          </cell>
          <cell r="C468">
            <v>0</v>
          </cell>
          <cell r="D468">
            <v>82010.299789481243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12682471.949475493</v>
          </cell>
        </row>
        <row r="469">
          <cell r="A469">
            <v>452</v>
          </cell>
          <cell r="B469">
            <v>58071</v>
          </cell>
          <cell r="C469">
            <v>0</v>
          </cell>
          <cell r="D469">
            <v>82010.299789481243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12682471.949475493</v>
          </cell>
        </row>
        <row r="470">
          <cell r="A470">
            <v>453</v>
          </cell>
          <cell r="B470">
            <v>58102</v>
          </cell>
          <cell r="C470">
            <v>0</v>
          </cell>
          <cell r="D470">
            <v>82010.299789481243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12682471.949475493</v>
          </cell>
        </row>
        <row r="471">
          <cell r="A471">
            <v>454</v>
          </cell>
          <cell r="B471">
            <v>58133</v>
          </cell>
          <cell r="C471">
            <v>0</v>
          </cell>
          <cell r="D471">
            <v>82010.299789481243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12682471.949475493</v>
          </cell>
        </row>
        <row r="472">
          <cell r="A472">
            <v>455</v>
          </cell>
          <cell r="B472">
            <v>58161</v>
          </cell>
          <cell r="C472">
            <v>0</v>
          </cell>
          <cell r="D472">
            <v>82010.299789481243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12682471.949475493</v>
          </cell>
        </row>
        <row r="473">
          <cell r="A473">
            <v>456</v>
          </cell>
          <cell r="B473">
            <v>58192</v>
          </cell>
          <cell r="C473">
            <v>0</v>
          </cell>
          <cell r="D473">
            <v>82010.299789481243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12682471.949475493</v>
          </cell>
        </row>
        <row r="474">
          <cell r="A474">
            <v>457</v>
          </cell>
          <cell r="B474">
            <v>58222</v>
          </cell>
          <cell r="C474">
            <v>0</v>
          </cell>
          <cell r="D474">
            <v>82010.299789481243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12682471.949475493</v>
          </cell>
        </row>
        <row r="475">
          <cell r="A475">
            <v>458</v>
          </cell>
          <cell r="B475">
            <v>58253</v>
          </cell>
          <cell r="C475">
            <v>0</v>
          </cell>
          <cell r="D475">
            <v>82010.299789481243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12682471.949475493</v>
          </cell>
        </row>
        <row r="476">
          <cell r="A476">
            <v>459</v>
          </cell>
          <cell r="B476">
            <v>58283</v>
          </cell>
          <cell r="C476">
            <v>0</v>
          </cell>
          <cell r="D476">
            <v>82010.299789481243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12682471.949475493</v>
          </cell>
        </row>
        <row r="477">
          <cell r="A477">
            <v>460</v>
          </cell>
          <cell r="B477">
            <v>58314</v>
          </cell>
          <cell r="C477">
            <v>0</v>
          </cell>
          <cell r="D477">
            <v>82010.299789481243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12682471.949475493</v>
          </cell>
        </row>
        <row r="478">
          <cell r="A478">
            <v>461</v>
          </cell>
          <cell r="B478">
            <v>58345</v>
          </cell>
          <cell r="C478">
            <v>0</v>
          </cell>
          <cell r="D478">
            <v>82010.299789481243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12682471.949475493</v>
          </cell>
        </row>
        <row r="479">
          <cell r="A479">
            <v>462</v>
          </cell>
          <cell r="B479">
            <v>58375</v>
          </cell>
          <cell r="C479">
            <v>0</v>
          </cell>
          <cell r="D479">
            <v>82010.299789481243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12682471.949475493</v>
          </cell>
        </row>
        <row r="480">
          <cell r="A480">
            <v>463</v>
          </cell>
          <cell r="B480">
            <v>58406</v>
          </cell>
          <cell r="C480">
            <v>0</v>
          </cell>
          <cell r="D480">
            <v>82010.299789481243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12682471.949475493</v>
          </cell>
        </row>
        <row r="481">
          <cell r="A481">
            <v>464</v>
          </cell>
          <cell r="B481">
            <v>58436</v>
          </cell>
          <cell r="C481">
            <v>0</v>
          </cell>
          <cell r="D481">
            <v>82010.299789481243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12682471.949475493</v>
          </cell>
        </row>
        <row r="482">
          <cell r="A482">
            <v>465</v>
          </cell>
          <cell r="B482">
            <v>58467</v>
          </cell>
          <cell r="C482">
            <v>0</v>
          </cell>
          <cell r="D482">
            <v>82010.299789481243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12682471.949475493</v>
          </cell>
        </row>
        <row r="483">
          <cell r="A483">
            <v>466</v>
          </cell>
          <cell r="B483">
            <v>58498</v>
          </cell>
          <cell r="C483">
            <v>0</v>
          </cell>
          <cell r="D483">
            <v>82010.299789481243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12682471.949475493</v>
          </cell>
        </row>
        <row r="484">
          <cell r="A484">
            <v>467</v>
          </cell>
          <cell r="B484">
            <v>58527</v>
          </cell>
          <cell r="C484">
            <v>0</v>
          </cell>
          <cell r="D484">
            <v>82010.299789481243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12682471.949475493</v>
          </cell>
        </row>
        <row r="485">
          <cell r="A485">
            <v>468</v>
          </cell>
          <cell r="B485">
            <v>58558</v>
          </cell>
          <cell r="C485">
            <v>0</v>
          </cell>
          <cell r="D485">
            <v>82010.299789481243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12682471.949475493</v>
          </cell>
        </row>
        <row r="486">
          <cell r="A486">
            <v>469</v>
          </cell>
          <cell r="B486">
            <v>58588</v>
          </cell>
          <cell r="C486">
            <v>0</v>
          </cell>
          <cell r="D486">
            <v>82010.299789481243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12682471.949475493</v>
          </cell>
        </row>
        <row r="487">
          <cell r="A487">
            <v>470</v>
          </cell>
          <cell r="B487">
            <v>58619</v>
          </cell>
          <cell r="C487">
            <v>0</v>
          </cell>
          <cell r="D487">
            <v>82010.299789481243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12682471.949475493</v>
          </cell>
        </row>
        <row r="488">
          <cell r="A488">
            <v>471</v>
          </cell>
          <cell r="B488">
            <v>58649</v>
          </cell>
          <cell r="C488">
            <v>0</v>
          </cell>
          <cell r="D488">
            <v>82010.299789481243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12682471.949475493</v>
          </cell>
        </row>
        <row r="489">
          <cell r="A489">
            <v>472</v>
          </cell>
          <cell r="B489">
            <v>58680</v>
          </cell>
          <cell r="C489">
            <v>0</v>
          </cell>
          <cell r="D489">
            <v>82010.299789481243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12682471.949475493</v>
          </cell>
        </row>
        <row r="490">
          <cell r="A490">
            <v>473</v>
          </cell>
          <cell r="B490">
            <v>58711</v>
          </cell>
          <cell r="C490">
            <v>0</v>
          </cell>
          <cell r="D490">
            <v>82010.299789481243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12682471.949475493</v>
          </cell>
        </row>
        <row r="491">
          <cell r="A491">
            <v>474</v>
          </cell>
          <cell r="B491">
            <v>58741</v>
          </cell>
          <cell r="C491">
            <v>0</v>
          </cell>
          <cell r="D491">
            <v>82010.299789481243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12682471.949475493</v>
          </cell>
        </row>
        <row r="492">
          <cell r="A492">
            <v>475</v>
          </cell>
          <cell r="B492">
            <v>58772</v>
          </cell>
          <cell r="C492">
            <v>0</v>
          </cell>
          <cell r="D492">
            <v>82010.299789481243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12682471.949475493</v>
          </cell>
        </row>
        <row r="493">
          <cell r="A493">
            <v>476</v>
          </cell>
          <cell r="B493">
            <v>58802</v>
          </cell>
          <cell r="C493">
            <v>0</v>
          </cell>
          <cell r="D493">
            <v>82010.299789481243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12682471.949475493</v>
          </cell>
        </row>
        <row r="494">
          <cell r="A494">
            <v>477</v>
          </cell>
          <cell r="B494">
            <v>58833</v>
          </cell>
          <cell r="C494">
            <v>0</v>
          </cell>
          <cell r="D494">
            <v>82010.299789481243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12682471.949475493</v>
          </cell>
        </row>
        <row r="495">
          <cell r="A495">
            <v>478</v>
          </cell>
          <cell r="B495">
            <v>58864</v>
          </cell>
          <cell r="C495">
            <v>0</v>
          </cell>
          <cell r="D495">
            <v>82010.299789481243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12682471.949475493</v>
          </cell>
        </row>
        <row r="496">
          <cell r="A496">
            <v>479</v>
          </cell>
          <cell r="B496">
            <v>58892</v>
          </cell>
          <cell r="C496">
            <v>0</v>
          </cell>
          <cell r="D496">
            <v>82010.299789481243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12682471.949475493</v>
          </cell>
        </row>
        <row r="497">
          <cell r="A497">
            <v>480</v>
          </cell>
          <cell r="B497">
            <v>58923</v>
          </cell>
          <cell r="C497">
            <v>0</v>
          </cell>
          <cell r="D497">
            <v>82010.299789481243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12682471.949475493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Sheet1"/>
      <sheetName val="Amortization_Report_5_2026 (9)"/>
    </sheetNames>
    <definedNames>
      <definedName name="End_Bal"/>
      <definedName name="Full_Print"/>
      <definedName name="Header_Row"/>
      <definedName name="Interest_Rate"/>
      <definedName name="Loan_Amount"/>
      <definedName name="Loan_Start"/>
      <definedName name="Loan_Years"/>
    </defined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 2023"/>
      <sheetName val="Sep ,2023"/>
      <sheetName val="Oct ,2023"/>
      <sheetName val="Nov ,2023"/>
      <sheetName val="Dec ,2023"/>
      <sheetName val="Jan ,2024"/>
      <sheetName val="Feb ,2024"/>
      <sheetName val="Mar ,2024"/>
      <sheetName val="Apr ,2024"/>
      <sheetName val="May ,2024"/>
      <sheetName val="June ,2024"/>
      <sheetName val="July ,2024"/>
      <sheetName val="Note"/>
      <sheetName val="ATM Space Rent"/>
      <sheetName val="Payment All (Autosaved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t Pay"/>
      <sheetName val="Net Pay (2)"/>
      <sheetName val="Staff Account"/>
    </sheetNames>
    <definedNames>
      <definedName name="Loan_Start"/>
    </definedNames>
    <sheetDataSet>
      <sheetData sheetId="0" refreshError="1"/>
      <sheetData sheetId="1" refreshError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5 Schedule New 1"/>
      <sheetName val="Rent Balance June, 2025 New"/>
      <sheetName val="July 2025 Schedule New"/>
      <sheetName val="Rent Balance July, 2025 New"/>
      <sheetName val="July 1-31 ,2025"/>
      <sheetName val="Sys July 15"/>
      <sheetName val="Aug 2025 Schedule"/>
      <sheetName val="Rent Balance Aug, 2025"/>
      <sheetName val="Sys Aug 25,25"/>
      <sheetName val="Sys Aug 31"/>
      <sheetName val="Rent Balance Sep, 2025"/>
      <sheetName val="Sys Sep 23 ,2025"/>
      <sheetName val="Sys As of Sep 19 ,2025"/>
      <sheetName val="Sep 2025 Schedule"/>
      <sheetName val="Sep 30 ,2025"/>
      <sheetName val="October 2025 Schedule"/>
      <sheetName val="1-22 Oct 2025"/>
      <sheetName val="23-31 Oct 2025"/>
      <sheetName val="November 2025 Schedule"/>
      <sheetName val="Sys Nov 18,2025"/>
      <sheetName val="19- 28-Nov-2025"/>
      <sheetName val="01-Nov-2025  –  30-Nov-2025"/>
      <sheetName val="December 2025 Schedule"/>
      <sheetName val="01-15 ,Dec-2025"/>
      <sheetName val="16-Dec 31 ,2025"/>
      <sheetName val="January 2026 Schedule"/>
      <sheetName val="01-Jan 15 -2026"/>
      <sheetName val="16- 31 ,Jan-2026"/>
      <sheetName val="February 2026 Schedule"/>
      <sheetName val="01 to 15 ,Feb-2026"/>
      <sheetName val="16 to 28 ,Feb-2026"/>
      <sheetName val="March 2026 Schedule"/>
      <sheetName val="01 to 22 ,Mar-2026"/>
      <sheetName val="23 to 31 ,Mar-2026"/>
      <sheetName val="April 2026 Schedule"/>
      <sheetName val="01 to 13 ,Apr-2026"/>
      <sheetName val="14 to 30 ,Apr 2026"/>
      <sheetName val="May 2026 Schedule"/>
      <sheetName val="01-May-2026  –  17-May-2026"/>
      <sheetName val="18-May-2026  –  31-May-2026"/>
      <sheetName val="June 2026 Schedule"/>
      <sheetName val="01-Jun-2026  –  07-Jun-2026"/>
      <sheetName val="08-Jun-2026  –  30-Jun-2026"/>
      <sheetName val="July 2026 Schedule"/>
      <sheetName val="01-Jul-2026  –  26-Jul-2026"/>
      <sheetName val="27-Jul-2026  –  31-Jul-2026"/>
      <sheetName val="August 2026 Schedule"/>
      <sheetName val="01-Aug-2026  –  20-Aug-2026"/>
      <sheetName val="21-Aug-2026  –  31-Aug-2026"/>
      <sheetName val="September 2026 Schedule"/>
      <sheetName val="Waited"/>
      <sheetName val="Chacklist"/>
      <sheetName val="All Ticket"/>
      <sheetName val="All Ticket adj"/>
      <sheetName val="Office Rent Amorization Schedul"/>
      <sheetName val="ATM Amortization schedule"/>
      <sheetName val="Office Rent Amorization Sch Old"/>
      <sheetName val="ATM Amortization schedule 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240">
          <cell r="X240">
            <v>2341496.67</v>
          </cell>
          <cell r="Z240">
            <v>489955.32000000007</v>
          </cell>
        </row>
        <row r="442">
          <cell r="X442">
            <v>15071032.600000003</v>
          </cell>
          <cell r="Z442">
            <v>178770</v>
          </cell>
        </row>
        <row r="559">
          <cell r="X559">
            <v>5326442.9899999984</v>
          </cell>
          <cell r="Z559">
            <v>193871.44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pellNumber"/>
    </sheetNames>
    <definedNames>
      <definedName name="spellNumber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G746"/>
  <sheetViews>
    <sheetView tabSelected="1" topLeftCell="A200" workbookViewId="0">
      <selection activeCell="C220" sqref="C220"/>
    </sheetView>
  </sheetViews>
  <sheetFormatPr defaultColWidth="10" defaultRowHeight="30" customHeight="1" x14ac:dyDescent="0.35"/>
  <cols>
    <col min="1" max="1" width="3.7265625" style="40" customWidth="1"/>
    <col min="2" max="2" width="12.1796875" style="40" customWidth="1"/>
    <col min="3" max="3" width="21.54296875" style="40" customWidth="1"/>
    <col min="4" max="4" width="22.54296875" style="40" customWidth="1"/>
    <col min="5" max="5" width="21.54296875" style="40" customWidth="1"/>
    <col min="6" max="6" width="20.1796875" style="40" customWidth="1"/>
    <col min="7" max="7" width="114.453125" style="40" bestFit="1" customWidth="1"/>
    <col min="8" max="8" width="3.54296875" customWidth="1"/>
    <col min="9" max="9" width="15.7265625" customWidth="1"/>
    <col min="10" max="10" width="14.26953125" bestFit="1" customWidth="1"/>
    <col min="11" max="12" width="14.26953125" customWidth="1"/>
    <col min="13" max="13" width="15.81640625" bestFit="1" customWidth="1"/>
    <col min="14" max="14" width="12.453125" bestFit="1" customWidth="1"/>
    <col min="16" max="16" width="13.54296875" bestFit="1" customWidth="1"/>
  </cols>
  <sheetData>
    <row r="1" spans="1:7" ht="14.25" customHeight="1" x14ac:dyDescent="0.35"/>
    <row r="2" spans="1:7" ht="15" customHeight="1" thickBot="1" x14ac:dyDescent="0.4">
      <c r="A2" s="41"/>
      <c r="B2" s="41"/>
      <c r="C2" s="41"/>
      <c r="D2" s="41"/>
      <c r="E2" s="41"/>
      <c r="F2" s="41"/>
      <c r="G2" s="41"/>
    </row>
    <row r="3" spans="1:7" ht="25" customHeight="1" thickTop="1" x14ac:dyDescent="0.35">
      <c r="A3" s="42"/>
      <c r="B3" s="43"/>
      <c r="C3" s="44"/>
      <c r="D3" s="44"/>
      <c r="E3" s="44"/>
      <c r="F3" s="45" t="s">
        <v>43</v>
      </c>
      <c r="G3" s="46">
        <f ca="1">TODAY()+1</f>
        <v>46282</v>
      </c>
    </row>
    <row r="4" spans="1:7" ht="25" customHeight="1" x14ac:dyDescent="0.35">
      <c r="A4" s="42"/>
      <c r="B4" s="47"/>
      <c r="C4" s="48"/>
      <c r="D4" s="48"/>
      <c r="E4" s="48"/>
      <c r="F4" s="48"/>
      <c r="G4" s="49"/>
    </row>
    <row r="5" spans="1:7" ht="25" customHeight="1" x14ac:dyDescent="0.35">
      <c r="A5" s="42"/>
      <c r="B5" s="50"/>
      <c r="C5" s="51"/>
      <c r="D5" s="51"/>
      <c r="E5" s="126" t="s">
        <v>44</v>
      </c>
      <c r="F5" s="126"/>
      <c r="G5" s="52"/>
    </row>
    <row r="6" spans="1:7" ht="25" customHeight="1" thickBot="1" x14ac:dyDescent="0.4">
      <c r="A6" s="42"/>
      <c r="B6" s="47"/>
      <c r="C6" s="48"/>
      <c r="D6" s="48"/>
      <c r="E6" s="48"/>
      <c r="F6" s="48"/>
      <c r="G6" s="49"/>
    </row>
    <row r="7" spans="1:7" ht="25" customHeight="1" x14ac:dyDescent="0.35">
      <c r="A7" s="42"/>
      <c r="B7" s="127" t="s">
        <v>45</v>
      </c>
      <c r="C7" s="128"/>
      <c r="D7" s="128"/>
      <c r="E7" s="128"/>
      <c r="F7" s="128"/>
      <c r="G7" s="129"/>
    </row>
    <row r="8" spans="1:7" x14ac:dyDescent="0.35">
      <c r="A8" s="42"/>
      <c r="B8" s="53" t="s">
        <v>8</v>
      </c>
      <c r="C8" s="54" t="s">
        <v>7</v>
      </c>
      <c r="D8" s="55" t="s">
        <v>46</v>
      </c>
      <c r="E8" s="55" t="s">
        <v>47</v>
      </c>
      <c r="F8" s="55" t="s">
        <v>48</v>
      </c>
      <c r="G8" s="56" t="s">
        <v>49</v>
      </c>
    </row>
    <row r="9" spans="1:7" ht="30" customHeight="1" x14ac:dyDescent="0.35">
      <c r="A9" s="42"/>
      <c r="B9" s="57">
        <v>108</v>
      </c>
      <c r="C9" s="58" t="e">
        <f>VLOOKUP(B9,'All Ticket'!$D$219:$E$386,2,0)</f>
        <v>#N/A</v>
      </c>
      <c r="D9" s="59">
        <v>502149</v>
      </c>
      <c r="E9" s="60" t="e">
        <f>VLOOKUP(D9,'All Ticket'!$F$219:$G$743,2,0)</f>
        <v>#N/A</v>
      </c>
      <c r="F9" s="61">
        <f>'[6]August 2026 Schedule'!X240</f>
        <v>2341496.67</v>
      </c>
      <c r="G9" s="62" t="s">
        <v>50</v>
      </c>
    </row>
    <row r="10" spans="1:7" ht="25" customHeight="1" thickBot="1" x14ac:dyDescent="0.4">
      <c r="A10" s="42"/>
      <c r="B10" s="123" t="s">
        <v>51</v>
      </c>
      <c r="C10" s="124"/>
      <c r="D10" s="124"/>
      <c r="E10" s="125"/>
      <c r="F10" s="63">
        <f>SUM(F9:F9)</f>
        <v>2341496.67</v>
      </c>
      <c r="G10" s="64"/>
    </row>
    <row r="11" spans="1:7" ht="25" customHeight="1" thickBot="1" x14ac:dyDescent="0.4">
      <c r="A11" s="42"/>
      <c r="B11" s="65"/>
      <c r="C11" s="66"/>
      <c r="D11" s="66"/>
      <c r="E11" s="66"/>
      <c r="F11" s="67"/>
      <c r="G11" s="68"/>
    </row>
    <row r="12" spans="1:7" ht="25" customHeight="1" x14ac:dyDescent="0.35">
      <c r="A12" s="42"/>
      <c r="B12" s="110" t="s">
        <v>52</v>
      </c>
      <c r="C12" s="111"/>
      <c r="D12" s="111"/>
      <c r="E12" s="111"/>
      <c r="F12" s="111"/>
      <c r="G12" s="112"/>
    </row>
    <row r="13" spans="1:7" ht="25" customHeight="1" x14ac:dyDescent="0.35">
      <c r="A13" s="42"/>
      <c r="B13" s="55" t="s">
        <v>8</v>
      </c>
      <c r="C13" s="55" t="s">
        <v>7</v>
      </c>
      <c r="D13" s="55" t="s">
        <v>46</v>
      </c>
      <c r="E13" s="55" t="s">
        <v>47</v>
      </c>
      <c r="F13" s="55" t="s">
        <v>48</v>
      </c>
      <c r="G13" s="55" t="s">
        <v>49</v>
      </c>
    </row>
    <row r="14" spans="1:7" ht="32.15" customHeight="1" x14ac:dyDescent="0.35">
      <c r="A14" s="42"/>
      <c r="B14" s="57" t="s">
        <v>53</v>
      </c>
      <c r="C14" s="58" t="e">
        <f>VLOOKUP(B14,'All Ticket'!$D$219:$E$386,2,0)</f>
        <v>#N/A</v>
      </c>
      <c r="D14" s="59">
        <v>208130</v>
      </c>
      <c r="E14" s="60" t="e">
        <f>VLOOKUP(D14,'All Ticket'!$F$219:$G$743,2,0)</f>
        <v>#N/A</v>
      </c>
      <c r="F14" s="61">
        <f>'[6]August 2026 Schedule'!Z240</f>
        <v>489955.32000000007</v>
      </c>
      <c r="G14" s="62" t="s">
        <v>54</v>
      </c>
    </row>
    <row r="15" spans="1:7" ht="32.15" customHeight="1" x14ac:dyDescent="0.35">
      <c r="A15" s="42"/>
      <c r="B15" s="57" t="s">
        <v>53</v>
      </c>
      <c r="C15" s="58" t="e">
        <f>VLOOKUP(B15,'All Ticket'!$D$219:$E$386,2,0)</f>
        <v>#N/A</v>
      </c>
      <c r="D15" s="59">
        <v>104401</v>
      </c>
      <c r="E15" s="60" t="e">
        <f>VLOOKUP(D15,'All Ticket'!$F$219:$G$743,2,0)</f>
        <v>#N/A</v>
      </c>
      <c r="F15" s="61">
        <f>'[6]August 2026 Schedule'!X240-'[6]August 2026 Schedule'!Z240</f>
        <v>1851541.3499999999</v>
      </c>
      <c r="G15" s="62" t="str">
        <f>G9</f>
        <v>ATM Space Rent for the Month of August 2026.</v>
      </c>
    </row>
    <row r="16" spans="1:7" ht="25" customHeight="1" thickBot="1" x14ac:dyDescent="0.4">
      <c r="A16" s="42"/>
      <c r="B16" s="113" t="s">
        <v>55</v>
      </c>
      <c r="C16" s="114"/>
      <c r="D16" s="114"/>
      <c r="E16" s="115"/>
      <c r="F16" s="63">
        <f>SUM(F14:F15)</f>
        <v>2341496.67</v>
      </c>
      <c r="G16" s="64"/>
    </row>
    <row r="17" spans="1:7" ht="25" customHeight="1" x14ac:dyDescent="0.35">
      <c r="A17" s="42"/>
      <c r="B17" s="69"/>
      <c r="C17" s="70"/>
      <c r="D17" s="71">
        <f>F10-F16</f>
        <v>0</v>
      </c>
      <c r="E17" s="70"/>
      <c r="F17" s="72"/>
      <c r="G17" s="73"/>
    </row>
    <row r="18" spans="1:7" ht="25" customHeight="1" x14ac:dyDescent="0.35">
      <c r="A18" s="42"/>
      <c r="B18" s="47" t="s">
        <v>56</v>
      </c>
      <c r="C18" s="48"/>
      <c r="D18" s="48"/>
      <c r="E18" s="48"/>
      <c r="F18" s="48"/>
      <c r="G18" s="49"/>
    </row>
    <row r="19" spans="1:7" ht="25" customHeight="1" x14ac:dyDescent="0.35">
      <c r="A19" s="42"/>
      <c r="B19" s="116" t="s">
        <v>57</v>
      </c>
      <c r="C19" s="117"/>
      <c r="D19" s="117"/>
      <c r="E19" s="117"/>
      <c r="F19" s="117"/>
      <c r="G19" s="118"/>
    </row>
    <row r="20" spans="1:7" ht="25" customHeight="1" x14ac:dyDescent="0.35">
      <c r="A20" s="42"/>
      <c r="B20" s="74"/>
      <c r="C20" s="75"/>
      <c r="D20" s="119" t="str">
        <f>G9</f>
        <v>ATM Space Rent for the Month of August 2026.</v>
      </c>
      <c r="E20" s="119"/>
      <c r="F20" s="119"/>
      <c r="G20" s="120"/>
    </row>
    <row r="21" spans="1:7" ht="25" customHeight="1" x14ac:dyDescent="0.35">
      <c r="A21" s="42"/>
      <c r="B21" s="121" t="s">
        <v>58</v>
      </c>
      <c r="C21" s="122"/>
      <c r="D21" s="122"/>
      <c r="E21" s="122"/>
      <c r="F21" s="48"/>
      <c r="G21" s="49"/>
    </row>
    <row r="22" spans="1:7" ht="25" customHeight="1" x14ac:dyDescent="0.35">
      <c r="A22" s="42"/>
      <c r="B22" s="76"/>
      <c r="C22" s="77"/>
      <c r="D22" s="78" t="s">
        <v>59</v>
      </c>
      <c r="E22" s="79"/>
      <c r="F22" s="80"/>
      <c r="G22" s="81"/>
    </row>
    <row r="23" spans="1:7" ht="30" customHeight="1" x14ac:dyDescent="0.35">
      <c r="A23" s="42"/>
      <c r="B23" s="82"/>
      <c r="C23" s="83"/>
      <c r="D23" s="107" t="e">
        <f ca="1">[7]!spellNumber(F16)</f>
        <v>#NAME?</v>
      </c>
      <c r="E23" s="107"/>
      <c r="F23" s="107"/>
      <c r="G23" s="84"/>
    </row>
    <row r="24" spans="1:7" ht="25" customHeight="1" x14ac:dyDescent="0.35">
      <c r="A24" s="42"/>
      <c r="B24" s="82"/>
      <c r="C24" s="83"/>
      <c r="D24" s="83"/>
      <c r="E24" s="48"/>
      <c r="F24" s="48"/>
      <c r="G24" s="49"/>
    </row>
    <row r="25" spans="1:7" ht="25" customHeight="1" x14ac:dyDescent="0.35">
      <c r="A25" s="42"/>
      <c r="B25" s="47"/>
      <c r="C25" s="48"/>
      <c r="D25" s="83"/>
      <c r="E25" s="83"/>
      <c r="F25" s="108" t="s">
        <v>60</v>
      </c>
      <c r="G25" s="109"/>
    </row>
    <row r="26" spans="1:7" ht="15.75" customHeight="1" x14ac:dyDescent="0.35">
      <c r="A26" s="42"/>
      <c r="B26" s="47"/>
      <c r="C26" s="48"/>
      <c r="D26" s="48"/>
      <c r="E26" s="48"/>
      <c r="F26" s="48"/>
      <c r="G26" s="49" t="s">
        <v>61</v>
      </c>
    </row>
    <row r="27" spans="1:7" ht="25" customHeight="1" thickBot="1" x14ac:dyDescent="0.4">
      <c r="A27" s="42"/>
      <c r="B27" s="85"/>
      <c r="C27" s="86"/>
      <c r="D27" s="86"/>
      <c r="E27" s="86"/>
      <c r="F27" s="86"/>
      <c r="G27" s="87"/>
    </row>
    <row r="28" spans="1:7" ht="15" customHeight="1" thickTop="1" thickBot="1" x14ac:dyDescent="0.4">
      <c r="A28" s="42"/>
    </row>
    <row r="29" spans="1:7" ht="22" customHeight="1" thickTop="1" x14ac:dyDescent="0.35">
      <c r="A29" s="42"/>
      <c r="B29" s="43"/>
      <c r="C29" s="44"/>
      <c r="D29" s="44"/>
      <c r="E29" s="44"/>
      <c r="F29" s="45" t="s">
        <v>43</v>
      </c>
      <c r="G29" s="46">
        <f ca="1">TODAY()+1</f>
        <v>46282</v>
      </c>
    </row>
    <row r="30" spans="1:7" ht="22" customHeight="1" x14ac:dyDescent="0.35">
      <c r="A30" s="42"/>
      <c r="B30" s="47"/>
      <c r="C30" s="48"/>
      <c r="D30" s="48"/>
      <c r="E30" s="48"/>
      <c r="F30" s="48"/>
      <c r="G30" s="49"/>
    </row>
    <row r="31" spans="1:7" ht="22" customHeight="1" x14ac:dyDescent="0.35">
      <c r="A31" s="42"/>
      <c r="B31" s="50"/>
      <c r="C31" s="51"/>
      <c r="D31" s="51"/>
      <c r="E31" s="126" t="s">
        <v>62</v>
      </c>
      <c r="F31" s="126"/>
      <c r="G31" s="52"/>
    </row>
    <row r="32" spans="1:7" ht="22" customHeight="1" thickBot="1" x14ac:dyDescent="0.4">
      <c r="A32" s="42"/>
      <c r="B32" s="47"/>
      <c r="C32" s="48"/>
      <c r="D32" s="48"/>
      <c r="E32" s="48"/>
      <c r="F32" s="48"/>
      <c r="G32" s="49"/>
    </row>
    <row r="33" spans="1:7" ht="38.15" customHeight="1" x14ac:dyDescent="0.35">
      <c r="A33" s="42"/>
      <c r="B33" s="127" t="s">
        <v>45</v>
      </c>
      <c r="C33" s="128"/>
      <c r="D33" s="128"/>
      <c r="E33" s="128"/>
      <c r="F33" s="128"/>
      <c r="G33" s="129"/>
    </row>
    <row r="34" spans="1:7" ht="38.15" customHeight="1" x14ac:dyDescent="0.35">
      <c r="A34" s="42"/>
      <c r="B34" s="53" t="s">
        <v>8</v>
      </c>
      <c r="C34" s="54" t="s">
        <v>7</v>
      </c>
      <c r="D34" s="55" t="s">
        <v>46</v>
      </c>
      <c r="E34" s="55" t="s">
        <v>47</v>
      </c>
      <c r="F34" s="55" t="s">
        <v>48</v>
      </c>
      <c r="G34" s="56" t="s">
        <v>49</v>
      </c>
    </row>
    <row r="35" spans="1:7" ht="30" customHeight="1" x14ac:dyDescent="0.35">
      <c r="B35" s="57">
        <v>103</v>
      </c>
      <c r="C35" s="58" t="e">
        <f>VLOOKUP(B35,'All Ticket'!$D$219:$E$403,2,0)</f>
        <v>#N/A</v>
      </c>
      <c r="D35" s="59">
        <v>502149</v>
      </c>
      <c r="E35" s="60" t="e">
        <f>VLOOKUP(D35,'All Ticket'!$F$219:$G$743,2,0)</f>
        <v>#N/A</v>
      </c>
      <c r="F35" s="61">
        <v>524129.53</v>
      </c>
      <c r="G35" s="62" t="s">
        <v>63</v>
      </c>
    </row>
    <row r="36" spans="1:7" ht="30" customHeight="1" x14ac:dyDescent="0.35">
      <c r="B36" s="57">
        <v>106</v>
      </c>
      <c r="C36" s="58" t="e">
        <f>VLOOKUP(B36,'All Ticket'!$D$219:$E$403,2,0)</f>
        <v>#N/A</v>
      </c>
      <c r="D36" s="88">
        <v>502149</v>
      </c>
      <c r="E36" s="60" t="e">
        <f>VLOOKUP(D36,'All Ticket'!$F$219:$G$743,2,0)</f>
        <v>#N/A</v>
      </c>
      <c r="F36" s="61">
        <v>197633.25</v>
      </c>
      <c r="G36" s="62" t="s">
        <v>64</v>
      </c>
    </row>
    <row r="37" spans="1:7" ht="30" customHeight="1" x14ac:dyDescent="0.35">
      <c r="B37" s="57"/>
      <c r="C37" s="58"/>
      <c r="D37" s="88"/>
      <c r="E37" s="60"/>
      <c r="F37" s="61"/>
      <c r="G37" s="62"/>
    </row>
    <row r="38" spans="1:7" ht="30" customHeight="1" x14ac:dyDescent="0.35">
      <c r="B38" s="57"/>
      <c r="C38" s="58"/>
      <c r="D38" s="88"/>
      <c r="E38" s="60"/>
      <c r="F38" s="61"/>
      <c r="G38" s="62"/>
    </row>
    <row r="39" spans="1:7" ht="30" customHeight="1" x14ac:dyDescent="0.35">
      <c r="B39" s="57"/>
      <c r="C39" s="58"/>
      <c r="D39" s="88"/>
      <c r="E39" s="60"/>
      <c r="F39" s="61"/>
      <c r="G39" s="62"/>
    </row>
    <row r="40" spans="1:7" ht="30" customHeight="1" x14ac:dyDescent="0.35">
      <c r="B40" s="57"/>
      <c r="C40" s="58"/>
      <c r="D40" s="88"/>
      <c r="E40" s="60"/>
      <c r="F40" s="61"/>
      <c r="G40" s="62"/>
    </row>
    <row r="41" spans="1:7" ht="30" customHeight="1" x14ac:dyDescent="0.35">
      <c r="B41" s="57"/>
      <c r="C41" s="58"/>
      <c r="D41" s="88"/>
      <c r="E41" s="60"/>
      <c r="F41" s="61"/>
      <c r="G41" s="62"/>
    </row>
    <row r="42" spans="1:7" ht="30" customHeight="1" x14ac:dyDescent="0.35">
      <c r="B42" s="57"/>
      <c r="C42" s="58"/>
      <c r="D42" s="88"/>
      <c r="E42" s="60"/>
      <c r="F42" s="61"/>
      <c r="G42" s="62"/>
    </row>
    <row r="43" spans="1:7" ht="30" customHeight="1" x14ac:dyDescent="0.35">
      <c r="B43" s="57"/>
      <c r="C43" s="58"/>
      <c r="D43" s="88"/>
      <c r="E43" s="60"/>
      <c r="F43" s="61"/>
      <c r="G43" s="62"/>
    </row>
    <row r="44" spans="1:7" ht="30" customHeight="1" x14ac:dyDescent="0.35">
      <c r="B44" s="57"/>
      <c r="C44" s="58"/>
      <c r="D44" s="88"/>
      <c r="E44" s="60"/>
      <c r="F44" s="61"/>
      <c r="G44" s="62"/>
    </row>
    <row r="45" spans="1:7" ht="30" customHeight="1" x14ac:dyDescent="0.35">
      <c r="B45" s="57"/>
      <c r="C45" s="58"/>
      <c r="D45" s="88"/>
      <c r="E45" s="60"/>
      <c r="F45" s="61"/>
      <c r="G45" s="62"/>
    </row>
    <row r="46" spans="1:7" ht="30" customHeight="1" x14ac:dyDescent="0.35">
      <c r="B46" s="57"/>
      <c r="C46" s="58"/>
      <c r="D46" s="88"/>
      <c r="E46" s="60"/>
      <c r="F46" s="61"/>
      <c r="G46" s="62"/>
    </row>
    <row r="47" spans="1:7" ht="30" customHeight="1" x14ac:dyDescent="0.35">
      <c r="B47" s="57"/>
      <c r="C47" s="58"/>
      <c r="D47" s="88"/>
      <c r="E47" s="60"/>
      <c r="F47" s="61"/>
      <c r="G47" s="62"/>
    </row>
    <row r="48" spans="1:7" ht="30" customHeight="1" x14ac:dyDescent="0.35">
      <c r="B48" s="57"/>
      <c r="C48" s="58"/>
      <c r="D48" s="88"/>
      <c r="E48" s="60"/>
      <c r="F48" s="61"/>
      <c r="G48" s="62"/>
    </row>
    <row r="49" spans="1:7" ht="30" customHeight="1" x14ac:dyDescent="0.35">
      <c r="B49" s="57"/>
      <c r="C49" s="58"/>
      <c r="D49" s="88"/>
      <c r="E49" s="60"/>
      <c r="F49" s="61"/>
      <c r="G49" s="62"/>
    </row>
    <row r="50" spans="1:7" ht="30" customHeight="1" x14ac:dyDescent="0.35">
      <c r="B50" s="57"/>
      <c r="C50" s="58"/>
      <c r="D50" s="88"/>
      <c r="E50" s="60"/>
      <c r="F50" s="61"/>
      <c r="G50" s="62"/>
    </row>
    <row r="51" spans="1:7" ht="30" customHeight="1" x14ac:dyDescent="0.35">
      <c r="A51" s="42"/>
      <c r="B51" s="57"/>
      <c r="C51" s="58"/>
      <c r="D51" s="88"/>
      <c r="E51" s="60"/>
      <c r="F51" s="61"/>
      <c r="G51" s="62"/>
    </row>
    <row r="52" spans="1:7" ht="30" customHeight="1" x14ac:dyDescent="0.35">
      <c r="A52" s="42"/>
      <c r="B52" s="57"/>
      <c r="C52" s="58"/>
      <c r="D52" s="88"/>
      <c r="E52" s="60"/>
      <c r="F52" s="61"/>
      <c r="G52" s="62"/>
    </row>
    <row r="53" spans="1:7" ht="30" customHeight="1" x14ac:dyDescent="0.35">
      <c r="A53" s="42"/>
      <c r="B53" s="57"/>
      <c r="C53" s="58"/>
      <c r="D53" s="88"/>
      <c r="E53" s="60"/>
      <c r="F53" s="61"/>
      <c r="G53" s="62"/>
    </row>
    <row r="54" spans="1:7" ht="30" customHeight="1" x14ac:dyDescent="0.35">
      <c r="A54" s="42"/>
      <c r="B54" s="57"/>
      <c r="C54" s="58"/>
      <c r="D54" s="88"/>
      <c r="E54" s="60"/>
      <c r="F54" s="61"/>
      <c r="G54" s="62"/>
    </row>
    <row r="55" spans="1:7" ht="30" customHeight="1" x14ac:dyDescent="0.35">
      <c r="A55" s="42"/>
      <c r="B55" s="57"/>
      <c r="C55" s="58"/>
      <c r="D55" s="88"/>
      <c r="E55" s="60"/>
      <c r="F55" s="61"/>
      <c r="G55" s="62"/>
    </row>
    <row r="56" spans="1:7" ht="30" customHeight="1" x14ac:dyDescent="0.35">
      <c r="A56" s="42"/>
      <c r="B56" s="57"/>
      <c r="C56" s="58"/>
      <c r="D56" s="88"/>
      <c r="E56" s="60"/>
      <c r="F56" s="61"/>
      <c r="G56" s="62"/>
    </row>
    <row r="57" spans="1:7" ht="30" customHeight="1" x14ac:dyDescent="0.35">
      <c r="A57" s="42"/>
      <c r="B57" s="104" t="s">
        <v>71</v>
      </c>
      <c r="C57" s="105"/>
      <c r="D57" s="105"/>
      <c r="E57" s="106"/>
      <c r="F57" s="102" t="s">
        <v>72</v>
      </c>
      <c r="G57" s="103"/>
    </row>
    <row r="58" spans="1:7" ht="30" customHeight="1" x14ac:dyDescent="0.35">
      <c r="A58" s="42"/>
      <c r="B58" s="57"/>
      <c r="C58" s="58"/>
      <c r="D58" s="88"/>
      <c r="E58" s="60"/>
      <c r="F58" s="61"/>
      <c r="G58" s="62"/>
    </row>
    <row r="59" spans="1:7" ht="30" customHeight="1" x14ac:dyDescent="0.35">
      <c r="A59" s="42"/>
      <c r="B59" s="57"/>
      <c r="C59" s="58"/>
      <c r="D59" s="88"/>
      <c r="E59" s="60"/>
      <c r="F59" s="61"/>
      <c r="G59" s="62"/>
    </row>
    <row r="60" spans="1:7" ht="30" customHeight="1" x14ac:dyDescent="0.35">
      <c r="A60" s="42"/>
      <c r="B60" s="57"/>
      <c r="C60" s="58"/>
      <c r="D60" s="88"/>
      <c r="E60" s="60"/>
      <c r="F60" s="61"/>
      <c r="G60" s="62"/>
    </row>
    <row r="61" spans="1:7" ht="30" customHeight="1" x14ac:dyDescent="0.35">
      <c r="A61" s="42"/>
      <c r="B61" s="57"/>
      <c r="C61" s="58"/>
      <c r="D61" s="88"/>
      <c r="E61" s="60"/>
      <c r="F61" s="61"/>
      <c r="G61" s="62"/>
    </row>
    <row r="62" spans="1:7" ht="30" customHeight="1" x14ac:dyDescent="0.35">
      <c r="A62" s="42"/>
      <c r="B62" s="57"/>
      <c r="C62" s="58"/>
      <c r="D62" s="88"/>
      <c r="E62" s="60"/>
      <c r="F62" s="61"/>
      <c r="G62" s="62"/>
    </row>
    <row r="63" spans="1:7" ht="30" customHeight="1" x14ac:dyDescent="0.35">
      <c r="A63" s="42"/>
      <c r="B63" s="57"/>
      <c r="C63" s="58"/>
      <c r="D63" s="88"/>
      <c r="E63" s="60"/>
      <c r="F63" s="61"/>
      <c r="G63" s="62"/>
    </row>
    <row r="64" spans="1:7" ht="30" customHeight="1" x14ac:dyDescent="0.35">
      <c r="A64" s="42"/>
      <c r="B64" s="57"/>
      <c r="C64" s="58"/>
      <c r="D64" s="88"/>
      <c r="E64" s="60"/>
      <c r="F64" s="61"/>
      <c r="G64" s="62"/>
    </row>
    <row r="65" spans="1:7" ht="30" customHeight="1" x14ac:dyDescent="0.35">
      <c r="A65" s="42"/>
      <c r="B65" s="57"/>
      <c r="C65" s="58"/>
      <c r="D65" s="88"/>
      <c r="E65" s="60"/>
      <c r="F65" s="61"/>
      <c r="G65" s="62"/>
    </row>
    <row r="66" spans="1:7" ht="30" customHeight="1" x14ac:dyDescent="0.35">
      <c r="A66" s="42"/>
      <c r="B66" s="57"/>
      <c r="C66" s="58"/>
      <c r="D66" s="88"/>
      <c r="E66" s="60"/>
      <c r="F66" s="61"/>
      <c r="G66" s="62"/>
    </row>
    <row r="67" spans="1:7" ht="30" customHeight="1" x14ac:dyDescent="0.35">
      <c r="A67" s="42"/>
      <c r="B67" s="57"/>
      <c r="C67" s="58"/>
      <c r="D67" s="88"/>
      <c r="E67" s="60"/>
      <c r="F67" s="61"/>
      <c r="G67" s="62"/>
    </row>
    <row r="68" spans="1:7" ht="30" customHeight="1" x14ac:dyDescent="0.35">
      <c r="A68" s="42"/>
      <c r="B68" s="57"/>
      <c r="C68" s="58"/>
      <c r="D68" s="88"/>
      <c r="E68" s="60"/>
      <c r="F68" s="61"/>
      <c r="G68" s="62"/>
    </row>
    <row r="69" spans="1:7" ht="30" customHeight="1" x14ac:dyDescent="0.35">
      <c r="A69" s="42"/>
      <c r="B69" s="57"/>
      <c r="C69" s="58"/>
      <c r="D69" s="88"/>
      <c r="E69" s="60"/>
      <c r="F69" s="61"/>
      <c r="G69" s="62"/>
    </row>
    <row r="70" spans="1:7" ht="30" customHeight="1" x14ac:dyDescent="0.35">
      <c r="A70" s="42"/>
      <c r="B70" s="57"/>
      <c r="C70" s="58"/>
      <c r="D70" s="88"/>
      <c r="E70" s="60"/>
      <c r="F70" s="61"/>
      <c r="G70" s="62"/>
    </row>
    <row r="71" spans="1:7" ht="30" customHeight="1" x14ac:dyDescent="0.35">
      <c r="A71" s="42"/>
      <c r="B71" s="57"/>
      <c r="C71" s="58"/>
      <c r="D71" s="88"/>
      <c r="E71" s="60"/>
      <c r="F71" s="61"/>
      <c r="G71" s="62"/>
    </row>
    <row r="72" spans="1:7" ht="30" customHeight="1" x14ac:dyDescent="0.35">
      <c r="A72" s="42"/>
      <c r="B72" s="57"/>
      <c r="C72" s="58"/>
      <c r="D72" s="88"/>
      <c r="E72" s="60"/>
      <c r="F72" s="61"/>
      <c r="G72" s="62"/>
    </row>
    <row r="73" spans="1:7" ht="30" customHeight="1" x14ac:dyDescent="0.35">
      <c r="A73" s="42"/>
      <c r="B73" s="57"/>
      <c r="C73" s="58"/>
      <c r="D73" s="88"/>
      <c r="E73" s="60"/>
      <c r="F73" s="61"/>
      <c r="G73" s="62"/>
    </row>
    <row r="74" spans="1:7" ht="30" customHeight="1" x14ac:dyDescent="0.35">
      <c r="A74" s="42"/>
      <c r="B74" s="57"/>
      <c r="C74" s="58"/>
      <c r="D74" s="88"/>
      <c r="E74" s="60"/>
      <c r="F74" s="61"/>
      <c r="G74" s="62"/>
    </row>
    <row r="75" spans="1:7" ht="30" customHeight="1" x14ac:dyDescent="0.35">
      <c r="A75" s="42"/>
      <c r="B75" s="57"/>
      <c r="C75" s="58"/>
      <c r="D75" s="88"/>
      <c r="E75" s="60"/>
      <c r="F75" s="61"/>
      <c r="G75" s="62"/>
    </row>
    <row r="76" spans="1:7" ht="30" customHeight="1" x14ac:dyDescent="0.35">
      <c r="A76" s="42"/>
      <c r="B76" s="57"/>
      <c r="C76" s="58"/>
      <c r="D76" s="88"/>
      <c r="E76" s="60"/>
      <c r="F76" s="61"/>
      <c r="G76" s="62"/>
    </row>
    <row r="77" spans="1:7" ht="30" customHeight="1" x14ac:dyDescent="0.35">
      <c r="A77" s="42"/>
      <c r="B77" s="57"/>
      <c r="C77" s="58"/>
      <c r="D77" s="88"/>
      <c r="E77" s="60"/>
      <c r="F77" s="61"/>
      <c r="G77" s="62"/>
    </row>
    <row r="78" spans="1:7" ht="30" customHeight="1" x14ac:dyDescent="0.35">
      <c r="A78" s="42"/>
      <c r="B78" s="57"/>
      <c r="C78" s="58"/>
      <c r="D78" s="88"/>
      <c r="E78" s="60"/>
      <c r="F78" s="61"/>
      <c r="G78" s="62"/>
    </row>
    <row r="79" spans="1:7" ht="30" customHeight="1" x14ac:dyDescent="0.35">
      <c r="A79" s="42"/>
      <c r="B79" s="57"/>
      <c r="C79" s="58"/>
      <c r="D79" s="88"/>
      <c r="E79" s="60"/>
      <c r="F79" s="61"/>
      <c r="G79" s="62"/>
    </row>
    <row r="80" spans="1:7" ht="30" customHeight="1" x14ac:dyDescent="0.35">
      <c r="A80" s="42"/>
      <c r="B80" s="57"/>
      <c r="C80" s="58"/>
      <c r="D80" s="88"/>
      <c r="E80" s="60"/>
      <c r="F80" s="61"/>
      <c r="G80" s="62"/>
    </row>
    <row r="81" spans="1:7" ht="30" customHeight="1" x14ac:dyDescent="0.35">
      <c r="A81" s="42"/>
      <c r="B81" s="57"/>
      <c r="C81" s="58"/>
      <c r="D81" s="88"/>
      <c r="E81" s="60"/>
      <c r="F81" s="61"/>
      <c r="G81" s="62"/>
    </row>
    <row r="82" spans="1:7" ht="30" customHeight="1" x14ac:dyDescent="0.35">
      <c r="A82" s="42"/>
      <c r="B82" s="57"/>
      <c r="C82" s="58"/>
      <c r="D82" s="88"/>
      <c r="E82" s="60"/>
      <c r="F82" s="61"/>
      <c r="G82" s="62"/>
    </row>
    <row r="83" spans="1:7" ht="30" customHeight="1" x14ac:dyDescent="0.35">
      <c r="A83" s="42"/>
      <c r="B83" s="57"/>
      <c r="C83" s="58"/>
      <c r="D83" s="88"/>
      <c r="E83" s="60"/>
      <c r="F83" s="61"/>
      <c r="G83" s="62"/>
    </row>
    <row r="84" spans="1:7" ht="30" customHeight="1" x14ac:dyDescent="0.35">
      <c r="A84" s="42"/>
      <c r="B84" s="57"/>
      <c r="C84" s="58"/>
      <c r="D84" s="88"/>
      <c r="E84" s="60"/>
      <c r="F84" s="61"/>
      <c r="G84" s="62"/>
    </row>
    <row r="85" spans="1:7" ht="30" customHeight="1" x14ac:dyDescent="0.35">
      <c r="A85" s="42"/>
      <c r="B85" s="57"/>
      <c r="C85" s="58"/>
      <c r="D85" s="88"/>
      <c r="E85" s="60"/>
      <c r="F85" s="61"/>
      <c r="G85" s="62"/>
    </row>
    <row r="86" spans="1:7" ht="30" customHeight="1" x14ac:dyDescent="0.35">
      <c r="A86" s="42"/>
      <c r="B86" s="57"/>
      <c r="C86" s="58"/>
      <c r="D86" s="88"/>
      <c r="E86" s="60"/>
      <c r="F86" s="61"/>
      <c r="G86" s="62"/>
    </row>
    <row r="87" spans="1:7" ht="30" customHeight="1" x14ac:dyDescent="0.35">
      <c r="A87" s="42"/>
      <c r="B87" s="57"/>
      <c r="C87" s="58"/>
      <c r="D87" s="88"/>
      <c r="E87" s="60"/>
      <c r="F87" s="61"/>
      <c r="G87" s="62"/>
    </row>
    <row r="88" spans="1:7" ht="30" customHeight="1" x14ac:dyDescent="0.35">
      <c r="A88" s="42"/>
      <c r="B88" s="57"/>
      <c r="C88" s="58"/>
      <c r="D88" s="88"/>
      <c r="E88" s="60"/>
      <c r="F88" s="61"/>
      <c r="G88" s="62"/>
    </row>
    <row r="89" spans="1:7" ht="30" customHeight="1" x14ac:dyDescent="0.35">
      <c r="A89" s="42"/>
      <c r="B89" s="57"/>
      <c r="C89" s="58"/>
      <c r="D89" s="88"/>
      <c r="E89" s="60"/>
      <c r="F89" s="61"/>
      <c r="G89" s="62"/>
    </row>
    <row r="90" spans="1:7" ht="30" customHeight="1" x14ac:dyDescent="0.35">
      <c r="A90" s="42"/>
      <c r="B90" s="57"/>
      <c r="C90" s="58"/>
      <c r="D90" s="88"/>
      <c r="E90" s="60"/>
      <c r="F90" s="61"/>
      <c r="G90" s="62"/>
    </row>
    <row r="91" spans="1:7" ht="30" customHeight="1" x14ac:dyDescent="0.35">
      <c r="A91" s="42"/>
      <c r="B91" s="57"/>
      <c r="C91" s="58"/>
      <c r="D91" s="88"/>
      <c r="E91" s="60"/>
      <c r="F91" s="61"/>
      <c r="G91" s="62"/>
    </row>
    <row r="92" spans="1:7" ht="30" customHeight="1" x14ac:dyDescent="0.35">
      <c r="A92" s="42"/>
      <c r="B92" s="57"/>
      <c r="C92" s="58"/>
      <c r="D92" s="88"/>
      <c r="E92" s="60"/>
      <c r="F92" s="61"/>
      <c r="G92" s="62"/>
    </row>
    <row r="93" spans="1:7" ht="30" customHeight="1" x14ac:dyDescent="0.35">
      <c r="A93" s="42"/>
      <c r="B93" s="57"/>
      <c r="C93" s="58"/>
      <c r="D93" s="88"/>
      <c r="E93" s="60"/>
      <c r="F93" s="61"/>
      <c r="G93" s="62"/>
    </row>
    <row r="94" spans="1:7" ht="30" customHeight="1" x14ac:dyDescent="0.35">
      <c r="A94" s="42"/>
      <c r="B94" s="57"/>
      <c r="C94" s="58"/>
      <c r="D94" s="88"/>
      <c r="E94" s="60"/>
      <c r="F94" s="61"/>
      <c r="G94" s="62"/>
    </row>
    <row r="95" spans="1:7" ht="30" customHeight="1" x14ac:dyDescent="0.35">
      <c r="A95" s="42"/>
      <c r="B95" s="57"/>
      <c r="C95" s="58"/>
      <c r="D95" s="88"/>
      <c r="E95" s="60"/>
      <c r="F95" s="61"/>
      <c r="G95" s="62"/>
    </row>
    <row r="96" spans="1:7" ht="30" customHeight="1" x14ac:dyDescent="0.35">
      <c r="A96" s="42"/>
      <c r="B96" s="57"/>
      <c r="C96" s="58"/>
      <c r="D96" s="88"/>
      <c r="E96" s="60"/>
      <c r="F96" s="61"/>
      <c r="G96" s="62"/>
    </row>
    <row r="97" spans="1:7" ht="30" customHeight="1" x14ac:dyDescent="0.35">
      <c r="A97" s="42"/>
      <c r="B97" s="57"/>
      <c r="C97" s="58"/>
      <c r="D97" s="88"/>
      <c r="E97" s="60"/>
      <c r="F97" s="61"/>
      <c r="G97" s="62"/>
    </row>
    <row r="98" spans="1:7" ht="30" customHeight="1" x14ac:dyDescent="0.35">
      <c r="A98" s="42"/>
      <c r="B98" s="57"/>
      <c r="C98" s="58"/>
      <c r="D98" s="88"/>
      <c r="E98" s="60"/>
      <c r="F98" s="61"/>
      <c r="G98" s="62"/>
    </row>
    <row r="99" spans="1:7" ht="30" customHeight="1" x14ac:dyDescent="0.35">
      <c r="A99" s="42"/>
      <c r="B99" s="57"/>
      <c r="C99" s="58"/>
      <c r="D99" s="88"/>
      <c r="E99" s="60"/>
      <c r="F99" s="61"/>
      <c r="G99" s="62"/>
    </row>
    <row r="100" spans="1:7" ht="30" customHeight="1" x14ac:dyDescent="0.35">
      <c r="A100" s="42"/>
      <c r="B100" s="57"/>
      <c r="C100" s="58"/>
      <c r="D100" s="88"/>
      <c r="E100" s="60"/>
      <c r="F100" s="61"/>
      <c r="G100" s="62"/>
    </row>
    <row r="101" spans="1:7" ht="30" customHeight="1" x14ac:dyDescent="0.35">
      <c r="A101" s="42"/>
      <c r="B101" s="57"/>
      <c r="C101" s="58"/>
      <c r="D101" s="88"/>
      <c r="E101" s="60"/>
      <c r="F101" s="61"/>
      <c r="G101" s="62"/>
    </row>
    <row r="102" spans="1:7" ht="30" customHeight="1" x14ac:dyDescent="0.35">
      <c r="A102" s="42"/>
      <c r="B102" s="57"/>
      <c r="C102" s="58"/>
      <c r="D102" s="88"/>
      <c r="E102" s="60"/>
      <c r="F102" s="61"/>
      <c r="G102" s="62"/>
    </row>
    <row r="103" spans="1:7" ht="30" customHeight="1" x14ac:dyDescent="0.35">
      <c r="A103" s="42"/>
      <c r="B103" s="57"/>
      <c r="C103" s="58"/>
      <c r="D103" s="88"/>
      <c r="E103" s="60"/>
      <c r="F103" s="61"/>
      <c r="G103" s="62"/>
    </row>
    <row r="104" spans="1:7" ht="30" customHeight="1" x14ac:dyDescent="0.35">
      <c r="A104" s="42"/>
      <c r="B104" s="57"/>
      <c r="C104" s="58"/>
      <c r="D104" s="88"/>
      <c r="E104" s="60"/>
      <c r="F104" s="61"/>
      <c r="G104" s="62"/>
    </row>
    <row r="105" spans="1:7" ht="30" customHeight="1" x14ac:dyDescent="0.35">
      <c r="A105" s="42"/>
      <c r="B105" s="57"/>
      <c r="C105" s="58"/>
      <c r="D105" s="88"/>
      <c r="E105" s="60"/>
      <c r="F105" s="61"/>
      <c r="G105" s="62"/>
    </row>
    <row r="106" spans="1:7" ht="30" customHeight="1" x14ac:dyDescent="0.35">
      <c r="A106" s="42"/>
      <c r="B106" s="57"/>
      <c r="C106" s="58"/>
      <c r="D106" s="88"/>
      <c r="E106" s="60"/>
      <c r="F106" s="61"/>
      <c r="G106" s="62"/>
    </row>
    <row r="107" spans="1:7" ht="30" customHeight="1" x14ac:dyDescent="0.35">
      <c r="A107" s="42"/>
      <c r="B107" s="57"/>
      <c r="C107" s="58"/>
      <c r="D107" s="88"/>
      <c r="E107" s="60"/>
      <c r="F107" s="61"/>
      <c r="G107" s="62"/>
    </row>
    <row r="108" spans="1:7" ht="30" customHeight="1" x14ac:dyDescent="0.35">
      <c r="A108" s="42"/>
      <c r="B108" s="57"/>
      <c r="C108" s="58"/>
      <c r="D108" s="88"/>
      <c r="E108" s="60"/>
      <c r="F108" s="61"/>
      <c r="G108" s="62"/>
    </row>
    <row r="109" spans="1:7" ht="30" customHeight="1" x14ac:dyDescent="0.35">
      <c r="A109" s="42"/>
      <c r="B109" s="57"/>
      <c r="C109" s="58"/>
      <c r="D109" s="88"/>
      <c r="E109" s="60"/>
      <c r="F109" s="61"/>
      <c r="G109" s="62"/>
    </row>
    <row r="110" spans="1:7" ht="30" customHeight="1" x14ac:dyDescent="0.35">
      <c r="A110" s="42"/>
      <c r="B110" s="57"/>
      <c r="C110" s="58"/>
      <c r="D110" s="88"/>
      <c r="E110" s="60"/>
      <c r="F110" s="61"/>
      <c r="G110" s="62"/>
    </row>
    <row r="111" spans="1:7" ht="30" customHeight="1" x14ac:dyDescent="0.35">
      <c r="A111" s="42"/>
      <c r="B111" s="57"/>
      <c r="C111" s="58"/>
      <c r="D111" s="88"/>
      <c r="E111" s="60"/>
      <c r="F111" s="61"/>
      <c r="G111" s="62"/>
    </row>
    <row r="112" spans="1:7" ht="30" customHeight="1" x14ac:dyDescent="0.35">
      <c r="A112" s="42"/>
      <c r="B112" s="57"/>
      <c r="C112" s="58"/>
      <c r="D112" s="88"/>
      <c r="E112" s="60"/>
      <c r="F112" s="61"/>
      <c r="G112" s="62"/>
    </row>
    <row r="113" spans="1:7" ht="30" customHeight="1" x14ac:dyDescent="0.35">
      <c r="A113" s="42"/>
      <c r="B113" s="57"/>
      <c r="C113" s="58"/>
      <c r="D113" s="88"/>
      <c r="E113" s="60"/>
      <c r="F113" s="61"/>
      <c r="G113" s="62"/>
    </row>
    <row r="114" spans="1:7" ht="30" customHeight="1" x14ac:dyDescent="0.35">
      <c r="A114" s="42"/>
      <c r="B114" s="57"/>
      <c r="C114" s="58"/>
      <c r="D114" s="88"/>
      <c r="E114" s="60"/>
      <c r="F114" s="61"/>
      <c r="G114" s="62"/>
    </row>
    <row r="115" spans="1:7" ht="30" customHeight="1" x14ac:dyDescent="0.35">
      <c r="A115" s="42"/>
      <c r="B115" s="57"/>
      <c r="C115" s="58"/>
      <c r="D115" s="88"/>
      <c r="E115" s="60"/>
      <c r="F115" s="61"/>
      <c r="G115" s="62"/>
    </row>
    <row r="116" spans="1:7" ht="30" customHeight="1" x14ac:dyDescent="0.35">
      <c r="A116" s="42"/>
      <c r="B116" s="57"/>
      <c r="C116" s="58"/>
      <c r="D116" s="88"/>
      <c r="E116" s="60"/>
      <c r="F116" s="61"/>
      <c r="G116" s="62"/>
    </row>
    <row r="117" spans="1:7" ht="30" customHeight="1" x14ac:dyDescent="0.35">
      <c r="A117" s="42"/>
      <c r="B117" s="57"/>
      <c r="C117" s="58"/>
      <c r="D117" s="88"/>
      <c r="E117" s="60"/>
      <c r="F117" s="61"/>
      <c r="G117" s="62"/>
    </row>
    <row r="118" spans="1:7" ht="30" customHeight="1" x14ac:dyDescent="0.35">
      <c r="A118" s="42"/>
      <c r="B118" s="57"/>
      <c r="C118" s="58"/>
      <c r="D118" s="88"/>
      <c r="E118" s="60"/>
      <c r="F118" s="61"/>
      <c r="G118" s="62"/>
    </row>
    <row r="119" spans="1:7" ht="38.15" customHeight="1" thickBot="1" x14ac:dyDescent="0.4">
      <c r="A119" s="42"/>
      <c r="B119" s="123"/>
      <c r="C119" s="124"/>
      <c r="D119" s="124"/>
      <c r="E119" s="125"/>
      <c r="F119" s="63"/>
      <c r="G119" s="64"/>
    </row>
    <row r="120" spans="1:7" ht="38.15" customHeight="1" thickBot="1" x14ac:dyDescent="0.4">
      <c r="A120" s="42"/>
      <c r="B120" s="65"/>
      <c r="C120" s="66"/>
      <c r="D120" s="66"/>
      <c r="E120" s="66"/>
      <c r="F120" s="67"/>
      <c r="G120" s="68"/>
    </row>
    <row r="121" spans="1:7" ht="38.15" customHeight="1" x14ac:dyDescent="0.35">
      <c r="A121" s="42"/>
      <c r="B121" s="110" t="s">
        <v>52</v>
      </c>
      <c r="C121" s="111"/>
      <c r="D121" s="111"/>
      <c r="E121" s="111"/>
      <c r="F121" s="111"/>
      <c r="G121" s="112"/>
    </row>
    <row r="122" spans="1:7" ht="38.15" customHeight="1" x14ac:dyDescent="0.35">
      <c r="A122" s="42"/>
      <c r="B122" s="55" t="s">
        <v>8</v>
      </c>
      <c r="C122" s="55" t="s">
        <v>7</v>
      </c>
      <c r="D122" s="55" t="s">
        <v>46</v>
      </c>
      <c r="E122" s="55" t="s">
        <v>47</v>
      </c>
      <c r="F122" s="55" t="s">
        <v>48</v>
      </c>
      <c r="G122" s="55" t="s">
        <v>49</v>
      </c>
    </row>
    <row r="123" spans="1:7" ht="38.15" customHeight="1" x14ac:dyDescent="0.35">
      <c r="A123" s="42"/>
      <c r="B123" s="57" t="s">
        <v>53</v>
      </c>
      <c r="C123" s="58" t="e">
        <f>VLOOKUP(B123,'All Ticket'!$D$219:$E$386,2,0)</f>
        <v>#N/A</v>
      </c>
      <c r="D123" s="59">
        <v>104401</v>
      </c>
      <c r="E123" s="60" t="e">
        <f>VLOOKUP(D123,'All Ticket'!$F$219:$G$743,2,0)</f>
        <v>#N/A</v>
      </c>
      <c r="F123" s="61">
        <f>'[6]August 2026 Schedule'!X442-'[6]August 2026 Schedule'!Z442</f>
        <v>14892262.600000003</v>
      </c>
      <c r="G123" s="62" t="s">
        <v>65</v>
      </c>
    </row>
    <row r="124" spans="1:7" ht="38.15" customHeight="1" x14ac:dyDescent="0.35">
      <c r="A124" s="42"/>
      <c r="B124" s="57" t="s">
        <v>53</v>
      </c>
      <c r="C124" s="58" t="e">
        <f>VLOOKUP(B124,'All Ticket'!$D$219:$E$386,2,0)</f>
        <v>#N/A</v>
      </c>
      <c r="D124" s="59">
        <v>208130</v>
      </c>
      <c r="E124" s="60" t="e">
        <f>VLOOKUP(D124,'All Ticket'!$F$219:$G$743,2,0)</f>
        <v>#N/A</v>
      </c>
      <c r="F124" s="61">
        <f>'[6]August 2026 Schedule'!Z442</f>
        <v>178770</v>
      </c>
      <c r="G124" s="62" t="s">
        <v>66</v>
      </c>
    </row>
    <row r="125" spans="1:7" ht="38.15" customHeight="1" thickBot="1" x14ac:dyDescent="0.4">
      <c r="A125" s="42"/>
      <c r="B125" s="113" t="s">
        <v>55</v>
      </c>
      <c r="C125" s="114"/>
      <c r="D125" s="114"/>
      <c r="E125" s="115"/>
      <c r="F125" s="63">
        <f>SUM(F123:F124)</f>
        <v>15071032.600000003</v>
      </c>
      <c r="G125" s="64"/>
    </row>
    <row r="126" spans="1:7" ht="22" customHeight="1" x14ac:dyDescent="0.35">
      <c r="A126" s="42"/>
      <c r="B126" s="69"/>
      <c r="C126" s="70"/>
      <c r="D126" s="71">
        <f>F119-F125</f>
        <v>-15071032.600000003</v>
      </c>
      <c r="E126" s="70"/>
      <c r="F126" s="72"/>
      <c r="G126" s="73"/>
    </row>
    <row r="127" spans="1:7" ht="22" customHeight="1" x14ac:dyDescent="0.35">
      <c r="A127" s="42"/>
      <c r="B127" s="47" t="s">
        <v>56</v>
      </c>
      <c r="C127" s="48"/>
      <c r="D127" s="48"/>
      <c r="E127" s="48"/>
      <c r="F127" s="48"/>
      <c r="G127" s="49"/>
    </row>
    <row r="128" spans="1:7" ht="22" customHeight="1" x14ac:dyDescent="0.35">
      <c r="A128" s="42"/>
      <c r="B128" s="116" t="s">
        <v>57</v>
      </c>
      <c r="C128" s="117"/>
      <c r="D128" s="117"/>
      <c r="E128" s="117"/>
      <c r="F128" s="117"/>
      <c r="G128" s="118"/>
    </row>
    <row r="129" spans="1:7" ht="22" customHeight="1" x14ac:dyDescent="0.35">
      <c r="A129" s="42"/>
      <c r="B129" s="74"/>
      <c r="C129" s="75"/>
      <c r="D129" s="119" t="str">
        <f>G123</f>
        <v>Office rent and stamp duty expense of City Branches for the month of August ,2026.</v>
      </c>
      <c r="E129" s="119"/>
      <c r="F129" s="119"/>
      <c r="G129" s="120"/>
    </row>
    <row r="130" spans="1:7" ht="22" customHeight="1" x14ac:dyDescent="0.35">
      <c r="A130" s="42"/>
      <c r="B130" s="121" t="s">
        <v>58</v>
      </c>
      <c r="C130" s="122"/>
      <c r="D130" s="122"/>
      <c r="E130" s="122"/>
      <c r="F130" s="48"/>
      <c r="G130" s="49"/>
    </row>
    <row r="131" spans="1:7" ht="22" customHeight="1" x14ac:dyDescent="0.35">
      <c r="A131" s="42"/>
      <c r="B131" s="76"/>
      <c r="C131" s="77"/>
      <c r="D131" s="78" t="s">
        <v>59</v>
      </c>
      <c r="E131" s="79"/>
      <c r="F131" s="80"/>
      <c r="G131" s="81"/>
    </row>
    <row r="132" spans="1:7" ht="22" customHeight="1" x14ac:dyDescent="0.35">
      <c r="A132" s="42"/>
      <c r="B132" s="82"/>
      <c r="C132" s="83"/>
      <c r="D132" s="107" t="e">
        <f ca="1">[7]!spellNumber(F125)</f>
        <v>#NAME?</v>
      </c>
      <c r="E132" s="107"/>
      <c r="F132" s="107"/>
      <c r="G132" s="84"/>
    </row>
    <row r="133" spans="1:7" ht="22" customHeight="1" x14ac:dyDescent="0.35">
      <c r="A133" s="42"/>
      <c r="B133" s="82"/>
      <c r="C133" s="83"/>
      <c r="D133" s="107"/>
      <c r="E133" s="107"/>
      <c r="F133" s="107"/>
      <c r="G133" s="49"/>
    </row>
    <row r="134" spans="1:7" ht="22" customHeight="1" x14ac:dyDescent="0.35">
      <c r="A134" s="42"/>
      <c r="B134" s="47"/>
      <c r="C134" s="48"/>
      <c r="D134" s="83"/>
      <c r="E134" s="83"/>
      <c r="F134" s="108" t="s">
        <v>60</v>
      </c>
      <c r="G134" s="109"/>
    </row>
    <row r="135" spans="1:7" ht="22" customHeight="1" x14ac:dyDescent="0.35">
      <c r="A135" s="42"/>
      <c r="B135" s="47"/>
      <c r="C135" s="48"/>
      <c r="D135" s="48"/>
      <c r="E135" s="48"/>
      <c r="F135" s="48"/>
      <c r="G135" s="49" t="s">
        <v>61</v>
      </c>
    </row>
    <row r="136" spans="1:7" ht="22" customHeight="1" thickBot="1" x14ac:dyDescent="0.4">
      <c r="A136" s="42"/>
      <c r="B136" s="85"/>
      <c r="C136" s="86"/>
      <c r="D136" s="86"/>
      <c r="E136" s="86"/>
      <c r="F136" s="86"/>
      <c r="G136" s="87"/>
    </row>
    <row r="137" spans="1:7" ht="25" customHeight="1" thickTop="1" thickBot="1" x14ac:dyDescent="0.4">
      <c r="A137" s="42"/>
      <c r="B137" s="48"/>
      <c r="C137" s="48"/>
      <c r="D137" s="48"/>
      <c r="E137" s="48"/>
      <c r="F137" s="48"/>
      <c r="G137" s="48"/>
    </row>
    <row r="138" spans="1:7" ht="22" customHeight="1" thickTop="1" x14ac:dyDescent="0.35">
      <c r="A138" s="42"/>
      <c r="B138" s="43"/>
      <c r="C138" s="44"/>
      <c r="D138" s="44"/>
      <c r="E138" s="44"/>
      <c r="F138" s="45" t="s">
        <v>43</v>
      </c>
      <c r="G138" s="46">
        <f ca="1">TODAY()+1</f>
        <v>46282</v>
      </c>
    </row>
    <row r="139" spans="1:7" ht="22" customHeight="1" x14ac:dyDescent="0.35">
      <c r="A139" s="42"/>
      <c r="B139" s="47"/>
      <c r="C139" s="48"/>
      <c r="D139" s="48"/>
      <c r="E139" s="48"/>
      <c r="F139" s="48"/>
      <c r="G139" s="49"/>
    </row>
    <row r="140" spans="1:7" ht="22" customHeight="1" x14ac:dyDescent="0.35">
      <c r="A140" s="42"/>
      <c r="B140" s="50"/>
      <c r="C140" s="51"/>
      <c r="D140" s="51"/>
      <c r="E140" s="126" t="s">
        <v>67</v>
      </c>
      <c r="F140" s="126"/>
      <c r="G140" s="52"/>
    </row>
    <row r="141" spans="1:7" ht="22" customHeight="1" thickBot="1" x14ac:dyDescent="0.4">
      <c r="A141" s="42"/>
      <c r="B141" s="47"/>
      <c r="C141" s="48"/>
      <c r="D141" s="48"/>
      <c r="E141" s="48"/>
      <c r="F141" s="48"/>
      <c r="G141" s="49"/>
    </row>
    <row r="142" spans="1:7" ht="38.15" customHeight="1" x14ac:dyDescent="0.35">
      <c r="A142" s="42"/>
      <c r="B142" s="127" t="s">
        <v>45</v>
      </c>
      <c r="C142" s="128"/>
      <c r="D142" s="128"/>
      <c r="E142" s="128"/>
      <c r="F142" s="128"/>
      <c r="G142" s="129"/>
    </row>
    <row r="143" spans="1:7" ht="38.15" customHeight="1" x14ac:dyDescent="0.35">
      <c r="A143" s="42"/>
      <c r="B143" s="53" t="s">
        <v>8</v>
      </c>
      <c r="C143" s="54" t="s">
        <v>7</v>
      </c>
      <c r="D143" s="55" t="s">
        <v>46</v>
      </c>
      <c r="E143" s="55" t="s">
        <v>47</v>
      </c>
      <c r="F143" s="55" t="s">
        <v>48</v>
      </c>
      <c r="G143" s="56" t="s">
        <v>49</v>
      </c>
    </row>
    <row r="144" spans="1:7" ht="32.15" customHeight="1" x14ac:dyDescent="0.35">
      <c r="A144" s="42"/>
      <c r="B144" s="57">
        <v>302</v>
      </c>
      <c r="C144" s="58" t="e">
        <f>VLOOKUP(B144,'All Ticket'!$D$219:$E$396,2,0)</f>
        <v>#N/A</v>
      </c>
      <c r="D144" s="59">
        <v>502149</v>
      </c>
      <c r="E144" s="60" t="e">
        <f>VLOOKUP(D144,'All Ticket'!$F$219:$G$743,2,0)</f>
        <v>#N/A</v>
      </c>
      <c r="F144" s="61">
        <v>95041.21</v>
      </c>
      <c r="G144" s="62" t="s">
        <v>68</v>
      </c>
    </row>
    <row r="145" spans="1:7" ht="32.15" customHeight="1" x14ac:dyDescent="0.35">
      <c r="A145" s="42"/>
      <c r="B145" s="57">
        <v>303</v>
      </c>
      <c r="C145" s="58" t="e">
        <f>VLOOKUP(B145,'All Ticket'!$D$219:$E$396,2,0)</f>
        <v>#N/A</v>
      </c>
      <c r="D145" s="88">
        <v>502149</v>
      </c>
      <c r="E145" s="60" t="e">
        <f>VLOOKUP(D145,'All Ticket'!$F$219:$G$743,2,0)</f>
        <v>#N/A</v>
      </c>
      <c r="F145" s="61">
        <v>78673.91</v>
      </c>
      <c r="G145" s="62" t="s">
        <v>69</v>
      </c>
    </row>
    <row r="146" spans="1:7" ht="32.15" customHeight="1" x14ac:dyDescent="0.35">
      <c r="A146" s="42"/>
      <c r="B146" s="57"/>
      <c r="C146" s="58"/>
      <c r="D146" s="59"/>
      <c r="E146" s="60"/>
      <c r="F146" s="61"/>
      <c r="G146" s="62"/>
    </row>
    <row r="147" spans="1:7" ht="32.15" customHeight="1" x14ac:dyDescent="0.35">
      <c r="A147" s="42"/>
      <c r="B147" s="57"/>
      <c r="C147" s="58"/>
      <c r="D147" s="88"/>
      <c r="E147" s="60"/>
      <c r="F147" s="61"/>
      <c r="G147" s="62"/>
    </row>
    <row r="148" spans="1:7" ht="32.15" customHeight="1" x14ac:dyDescent="0.35">
      <c r="A148" s="42"/>
      <c r="B148" s="57"/>
      <c r="C148" s="58"/>
      <c r="D148" s="59"/>
      <c r="E148" s="60"/>
      <c r="F148" s="61"/>
      <c r="G148" s="62"/>
    </row>
    <row r="149" spans="1:7" ht="32.15" customHeight="1" x14ac:dyDescent="0.35">
      <c r="A149" s="42"/>
      <c r="B149" s="57"/>
      <c r="C149" s="58"/>
      <c r="D149" s="88"/>
      <c r="E149" s="60"/>
      <c r="F149" s="61"/>
      <c r="G149" s="62"/>
    </row>
    <row r="150" spans="1:7" ht="32.15" customHeight="1" x14ac:dyDescent="0.35">
      <c r="A150" s="42"/>
      <c r="B150" s="57"/>
      <c r="C150" s="58"/>
      <c r="D150" s="59"/>
      <c r="E150" s="60"/>
      <c r="F150" s="61"/>
      <c r="G150" s="62"/>
    </row>
    <row r="151" spans="1:7" ht="32.15" customHeight="1" x14ac:dyDescent="0.35">
      <c r="A151" s="42"/>
      <c r="B151" s="57"/>
      <c r="C151" s="58"/>
      <c r="D151" s="88"/>
      <c r="E151" s="60"/>
      <c r="F151" s="61"/>
      <c r="G151" s="62"/>
    </row>
    <row r="152" spans="1:7" ht="32.15" customHeight="1" x14ac:dyDescent="0.35">
      <c r="A152" s="42"/>
      <c r="B152" s="57"/>
      <c r="C152" s="58"/>
      <c r="D152" s="59"/>
      <c r="E152" s="60"/>
      <c r="F152" s="61"/>
      <c r="G152" s="62"/>
    </row>
    <row r="153" spans="1:7" ht="32.15" customHeight="1" x14ac:dyDescent="0.35">
      <c r="A153" s="42"/>
      <c r="B153" s="57"/>
      <c r="C153" s="58"/>
      <c r="D153" s="88"/>
      <c r="E153" s="60"/>
      <c r="F153" s="61"/>
      <c r="G153" s="62"/>
    </row>
    <row r="154" spans="1:7" ht="32.15" customHeight="1" x14ac:dyDescent="0.35">
      <c r="A154" s="42"/>
      <c r="B154" s="57"/>
      <c r="C154" s="58"/>
      <c r="D154" s="59"/>
      <c r="E154" s="60"/>
      <c r="F154" s="61"/>
      <c r="G154" s="62"/>
    </row>
    <row r="155" spans="1:7" ht="32.15" customHeight="1" x14ac:dyDescent="0.35">
      <c r="A155" s="42"/>
      <c r="B155" s="57"/>
      <c r="C155" s="58"/>
      <c r="D155" s="88"/>
      <c r="E155" s="60"/>
      <c r="F155" s="61"/>
      <c r="G155" s="62"/>
    </row>
    <row r="156" spans="1:7" ht="32.15" customHeight="1" x14ac:dyDescent="0.35">
      <c r="A156" s="42"/>
      <c r="B156" s="57"/>
      <c r="C156" s="58"/>
      <c r="D156" s="59"/>
      <c r="E156" s="60"/>
      <c r="F156" s="61"/>
      <c r="G156" s="62"/>
    </row>
    <row r="157" spans="1:7" ht="32.15" customHeight="1" x14ac:dyDescent="0.35">
      <c r="A157" s="42"/>
      <c r="B157" s="57"/>
      <c r="C157" s="58"/>
      <c r="D157" s="88"/>
      <c r="E157" s="60"/>
      <c r="F157" s="61"/>
      <c r="G157" s="62"/>
    </row>
    <row r="158" spans="1:7" ht="32.15" customHeight="1" x14ac:dyDescent="0.35">
      <c r="A158" s="42"/>
      <c r="B158" s="57"/>
      <c r="C158" s="58"/>
      <c r="D158" s="59"/>
      <c r="E158" s="60"/>
      <c r="F158" s="61"/>
      <c r="G158" s="62"/>
    </row>
    <row r="159" spans="1:7" ht="32.15" customHeight="1" x14ac:dyDescent="0.35">
      <c r="A159" s="42"/>
      <c r="B159" s="57"/>
      <c r="C159" s="58"/>
      <c r="D159" s="88"/>
      <c r="E159" s="60"/>
      <c r="F159" s="61"/>
      <c r="G159" s="62"/>
    </row>
    <row r="160" spans="1:7" ht="32.15" customHeight="1" x14ac:dyDescent="0.35">
      <c r="A160" s="42"/>
      <c r="B160" s="57"/>
      <c r="C160" s="58"/>
      <c r="D160" s="59"/>
      <c r="E160" s="60"/>
      <c r="F160" s="61"/>
      <c r="G160" s="62"/>
    </row>
    <row r="161" spans="1:7" ht="32.15" customHeight="1" x14ac:dyDescent="0.35">
      <c r="A161" s="42"/>
      <c r="B161" s="57"/>
      <c r="C161" s="58"/>
      <c r="D161" s="88"/>
      <c r="E161" s="60"/>
      <c r="F161" s="61"/>
      <c r="G161" s="62"/>
    </row>
    <row r="162" spans="1:7" ht="32.15" customHeight="1" x14ac:dyDescent="0.35">
      <c r="A162" s="42"/>
      <c r="B162" s="57"/>
      <c r="C162" s="58"/>
      <c r="D162" s="59"/>
      <c r="E162" s="60"/>
      <c r="F162" s="61"/>
      <c r="G162" s="62"/>
    </row>
    <row r="163" spans="1:7" ht="32.15" customHeight="1" x14ac:dyDescent="0.35">
      <c r="A163" s="42"/>
      <c r="B163" s="57"/>
      <c r="C163" s="58"/>
      <c r="D163" s="88"/>
      <c r="E163" s="60"/>
      <c r="F163" s="61"/>
      <c r="G163" s="62"/>
    </row>
    <row r="164" spans="1:7" ht="32.15" customHeight="1" x14ac:dyDescent="0.35">
      <c r="A164" s="42"/>
      <c r="B164" s="57"/>
      <c r="C164" s="58"/>
      <c r="D164" s="59"/>
      <c r="E164" s="60"/>
      <c r="F164" s="61"/>
      <c r="G164" s="62"/>
    </row>
    <row r="165" spans="1:7" ht="32.15" customHeight="1" x14ac:dyDescent="0.35">
      <c r="A165" s="42"/>
      <c r="B165" s="57"/>
      <c r="C165" s="58"/>
      <c r="D165" s="88"/>
      <c r="E165" s="60"/>
      <c r="F165" s="61"/>
      <c r="G165" s="62"/>
    </row>
    <row r="166" spans="1:7" ht="32.15" customHeight="1" x14ac:dyDescent="0.35">
      <c r="A166" s="42"/>
      <c r="B166" s="57"/>
      <c r="C166" s="58"/>
      <c r="D166" s="59"/>
      <c r="E166" s="60"/>
      <c r="F166" s="61"/>
      <c r="G166" s="62"/>
    </row>
    <row r="167" spans="1:7" ht="32.15" customHeight="1" x14ac:dyDescent="0.35">
      <c r="A167" s="42"/>
      <c r="B167" s="57"/>
      <c r="C167" s="58"/>
      <c r="D167" s="88"/>
      <c r="E167" s="60"/>
      <c r="F167" s="61"/>
      <c r="G167" s="62"/>
    </row>
    <row r="168" spans="1:7" ht="32.15" customHeight="1" x14ac:dyDescent="0.35">
      <c r="A168" s="42"/>
      <c r="B168" s="57"/>
      <c r="C168" s="58"/>
      <c r="D168" s="59"/>
      <c r="E168" s="60"/>
      <c r="F168" s="61"/>
      <c r="G168" s="62"/>
    </row>
    <row r="169" spans="1:7" ht="32.15" customHeight="1" x14ac:dyDescent="0.35">
      <c r="A169" s="42"/>
      <c r="B169" s="57"/>
      <c r="C169" s="58"/>
      <c r="D169" s="88"/>
      <c r="E169" s="60"/>
      <c r="F169" s="61"/>
      <c r="G169" s="62"/>
    </row>
    <row r="170" spans="1:7" ht="32.15" customHeight="1" x14ac:dyDescent="0.35">
      <c r="A170" s="42"/>
      <c r="B170" s="57"/>
      <c r="C170" s="58"/>
      <c r="D170" s="59"/>
      <c r="E170" s="60"/>
      <c r="F170" s="61"/>
      <c r="G170" s="62"/>
    </row>
    <row r="171" spans="1:7" ht="32.15" customHeight="1" x14ac:dyDescent="0.35">
      <c r="A171" s="42"/>
      <c r="B171" s="57"/>
      <c r="C171" s="58"/>
      <c r="D171" s="88"/>
      <c r="E171" s="60"/>
      <c r="F171" s="61"/>
      <c r="G171" s="62"/>
    </row>
    <row r="172" spans="1:7" ht="32.15" customHeight="1" x14ac:dyDescent="0.35">
      <c r="A172" s="42"/>
      <c r="B172" s="57"/>
      <c r="C172" s="58"/>
      <c r="D172" s="59"/>
      <c r="E172" s="60"/>
      <c r="F172" s="61"/>
      <c r="G172" s="62"/>
    </row>
    <row r="173" spans="1:7" ht="32.15" customHeight="1" x14ac:dyDescent="0.35">
      <c r="A173" s="42"/>
      <c r="B173" s="57"/>
      <c r="C173" s="58"/>
      <c r="D173" s="88"/>
      <c r="E173" s="60"/>
      <c r="F173" s="61"/>
      <c r="G173" s="62"/>
    </row>
    <row r="174" spans="1:7" ht="32.15" customHeight="1" x14ac:dyDescent="0.35">
      <c r="A174" s="42"/>
      <c r="B174" s="57"/>
      <c r="C174" s="58"/>
      <c r="D174" s="59"/>
      <c r="E174" s="60"/>
      <c r="F174" s="61"/>
      <c r="G174" s="62"/>
    </row>
    <row r="175" spans="1:7" ht="32.15" customHeight="1" x14ac:dyDescent="0.35">
      <c r="A175" s="42"/>
      <c r="B175" s="57"/>
      <c r="C175" s="58"/>
      <c r="D175" s="88"/>
      <c r="E175" s="60"/>
      <c r="F175" s="61"/>
      <c r="G175" s="62"/>
    </row>
    <row r="176" spans="1:7" ht="32.15" customHeight="1" x14ac:dyDescent="0.35">
      <c r="A176" s="42"/>
      <c r="B176" s="57"/>
      <c r="C176" s="58"/>
      <c r="D176" s="59"/>
      <c r="E176" s="60"/>
      <c r="F176" s="61"/>
      <c r="G176" s="62"/>
    </row>
    <row r="177" spans="1:7" ht="32.15" customHeight="1" x14ac:dyDescent="0.35">
      <c r="A177" s="42"/>
      <c r="B177" s="57"/>
      <c r="C177" s="58"/>
      <c r="D177" s="88"/>
      <c r="E177" s="60"/>
      <c r="F177" s="61"/>
      <c r="G177" s="62"/>
    </row>
    <row r="178" spans="1:7" ht="32.15" customHeight="1" x14ac:dyDescent="0.35">
      <c r="A178" s="42"/>
      <c r="B178" s="57"/>
      <c r="C178" s="58"/>
      <c r="D178" s="59"/>
      <c r="E178" s="60"/>
      <c r="F178" s="61"/>
      <c r="G178" s="62"/>
    </row>
    <row r="179" spans="1:7" ht="32.15" customHeight="1" x14ac:dyDescent="0.35">
      <c r="A179" s="42"/>
      <c r="B179" s="57"/>
      <c r="C179" s="58"/>
      <c r="D179" s="88"/>
      <c r="E179" s="60"/>
      <c r="F179" s="61"/>
      <c r="G179" s="62"/>
    </row>
    <row r="180" spans="1:7" ht="32.15" customHeight="1" x14ac:dyDescent="0.35">
      <c r="A180" s="42"/>
      <c r="B180" s="57"/>
      <c r="C180" s="58"/>
      <c r="D180" s="59"/>
      <c r="E180" s="60"/>
      <c r="F180" s="61"/>
      <c r="G180" s="62"/>
    </row>
    <row r="181" spans="1:7" ht="32.15" customHeight="1" x14ac:dyDescent="0.35">
      <c r="A181" s="42"/>
      <c r="B181" s="57"/>
      <c r="C181" s="58"/>
      <c r="D181" s="88"/>
      <c r="E181" s="60"/>
      <c r="F181" s="61"/>
      <c r="G181" s="62"/>
    </row>
    <row r="182" spans="1:7" ht="32.15" customHeight="1" x14ac:dyDescent="0.35">
      <c r="A182" s="42"/>
      <c r="B182" s="57"/>
      <c r="C182" s="58"/>
      <c r="D182" s="59"/>
      <c r="E182" s="60"/>
      <c r="F182" s="61"/>
      <c r="G182" s="62"/>
    </row>
    <row r="183" spans="1:7" ht="32.15" customHeight="1" x14ac:dyDescent="0.35">
      <c r="A183" s="42"/>
      <c r="B183" s="57"/>
      <c r="C183" s="58"/>
      <c r="D183" s="88"/>
      <c r="E183" s="60"/>
      <c r="F183" s="61"/>
      <c r="G183" s="62"/>
    </row>
    <row r="184" spans="1:7" ht="32.15" customHeight="1" x14ac:dyDescent="0.35">
      <c r="A184" s="42"/>
      <c r="B184" s="57"/>
      <c r="C184" s="58"/>
      <c r="D184" s="59"/>
      <c r="E184" s="60"/>
      <c r="F184" s="61"/>
      <c r="G184" s="62"/>
    </row>
    <row r="185" spans="1:7" ht="32.15" customHeight="1" x14ac:dyDescent="0.35">
      <c r="A185" s="42"/>
      <c r="B185" s="57"/>
      <c r="C185" s="58"/>
      <c r="D185" s="88"/>
      <c r="E185" s="60"/>
      <c r="F185" s="61"/>
      <c r="G185" s="62"/>
    </row>
    <row r="186" spans="1:7" ht="32.15" customHeight="1" x14ac:dyDescent="0.35">
      <c r="A186" s="42"/>
      <c r="B186" s="57"/>
      <c r="C186" s="58"/>
      <c r="D186" s="59"/>
      <c r="E186" s="60"/>
      <c r="F186" s="61"/>
      <c r="G186" s="62"/>
    </row>
    <row r="187" spans="1:7" ht="32.15" customHeight="1" x14ac:dyDescent="0.35">
      <c r="A187" s="42"/>
      <c r="B187" s="57"/>
      <c r="C187" s="58"/>
      <c r="D187" s="88"/>
      <c r="E187" s="60"/>
      <c r="F187" s="61"/>
      <c r="G187" s="62"/>
    </row>
    <row r="188" spans="1:7" ht="32.15" customHeight="1" x14ac:dyDescent="0.35">
      <c r="A188" s="42"/>
      <c r="B188" s="57"/>
      <c r="C188" s="58"/>
      <c r="D188" s="59"/>
      <c r="E188" s="60"/>
      <c r="F188" s="61"/>
      <c r="G188" s="62"/>
    </row>
    <row r="189" spans="1:7" ht="32.15" customHeight="1" x14ac:dyDescent="0.35">
      <c r="A189" s="42"/>
      <c r="B189" s="57"/>
      <c r="C189" s="58"/>
      <c r="D189" s="88"/>
      <c r="E189" s="60"/>
      <c r="F189" s="61"/>
      <c r="G189" s="62"/>
    </row>
    <row r="190" spans="1:7" ht="32.15" customHeight="1" x14ac:dyDescent="0.35">
      <c r="A190" s="42"/>
      <c r="B190" s="57"/>
      <c r="C190" s="58"/>
      <c r="D190" s="59"/>
      <c r="E190" s="60"/>
      <c r="F190" s="61"/>
      <c r="G190" s="62"/>
    </row>
    <row r="191" spans="1:7" ht="32.15" customHeight="1" x14ac:dyDescent="0.35">
      <c r="A191" s="42"/>
      <c r="B191" s="57"/>
      <c r="C191" s="58"/>
      <c r="D191" s="88"/>
      <c r="E191" s="60"/>
      <c r="F191" s="61"/>
      <c r="G191" s="62"/>
    </row>
    <row r="192" spans="1:7" ht="32.15" customHeight="1" x14ac:dyDescent="0.35">
      <c r="A192" s="42"/>
      <c r="B192" s="57"/>
      <c r="C192" s="58"/>
      <c r="D192" s="88"/>
      <c r="E192" s="60"/>
      <c r="F192" s="61"/>
      <c r="G192" s="62"/>
    </row>
    <row r="193" spans="1:7" ht="32.15" customHeight="1" x14ac:dyDescent="0.35">
      <c r="A193" s="42"/>
      <c r="B193" s="57"/>
      <c r="C193" s="58"/>
      <c r="D193" s="88"/>
      <c r="E193" s="60"/>
      <c r="F193" s="61"/>
      <c r="G193" s="62"/>
    </row>
    <row r="194" spans="1:7" ht="32.15" customHeight="1" x14ac:dyDescent="0.35">
      <c r="A194" s="42"/>
      <c r="B194" s="57"/>
      <c r="C194" s="58"/>
      <c r="D194" s="88"/>
      <c r="E194" s="60"/>
      <c r="F194" s="61"/>
      <c r="G194" s="62"/>
    </row>
    <row r="195" spans="1:7" ht="32.15" customHeight="1" x14ac:dyDescent="0.35">
      <c r="A195" s="42"/>
      <c r="B195" s="57"/>
      <c r="C195" s="58"/>
      <c r="D195" s="88"/>
      <c r="E195" s="60"/>
      <c r="F195" s="61"/>
      <c r="G195" s="62"/>
    </row>
    <row r="196" spans="1:7" ht="32.15" customHeight="1" x14ac:dyDescent="0.35">
      <c r="A196" s="42"/>
      <c r="B196" s="57"/>
      <c r="C196" s="58"/>
      <c r="D196" s="88"/>
      <c r="E196" s="60"/>
      <c r="F196" s="61"/>
      <c r="G196" s="62"/>
    </row>
    <row r="197" spans="1:7" ht="38.15" customHeight="1" thickBot="1" x14ac:dyDescent="0.4">
      <c r="A197" s="42"/>
      <c r="B197" s="123" t="s">
        <v>51</v>
      </c>
      <c r="C197" s="124"/>
      <c r="D197" s="124"/>
      <c r="E197" s="125"/>
      <c r="F197" s="63">
        <f>SUM(F144:F196)</f>
        <v>173715.12</v>
      </c>
      <c r="G197" s="64"/>
    </row>
    <row r="198" spans="1:7" ht="38.15" customHeight="1" thickBot="1" x14ac:dyDescent="0.4">
      <c r="A198" s="42"/>
      <c r="B198" s="65"/>
      <c r="C198" s="66"/>
      <c r="D198" s="66"/>
      <c r="E198" s="66"/>
      <c r="F198" s="67"/>
      <c r="G198" s="68"/>
    </row>
    <row r="199" spans="1:7" ht="38.15" customHeight="1" x14ac:dyDescent="0.35">
      <c r="A199" s="42"/>
      <c r="B199" s="110" t="s">
        <v>52</v>
      </c>
      <c r="C199" s="111"/>
      <c r="D199" s="111"/>
      <c r="E199" s="111"/>
      <c r="F199" s="111"/>
      <c r="G199" s="112"/>
    </row>
    <row r="200" spans="1:7" ht="38.15" customHeight="1" x14ac:dyDescent="0.35">
      <c r="A200" s="42"/>
      <c r="B200" s="55" t="s">
        <v>8</v>
      </c>
      <c r="C200" s="55" t="s">
        <v>7</v>
      </c>
      <c r="D200" s="55" t="s">
        <v>46</v>
      </c>
      <c r="E200" s="55" t="s">
        <v>47</v>
      </c>
      <c r="F200" s="55" t="s">
        <v>48</v>
      </c>
      <c r="G200" s="55" t="s">
        <v>49</v>
      </c>
    </row>
    <row r="201" spans="1:7" ht="38.15" customHeight="1" x14ac:dyDescent="0.35">
      <c r="A201" s="42"/>
      <c r="B201" s="57" t="s">
        <v>53</v>
      </c>
      <c r="C201" s="58" t="e">
        <f>VLOOKUP(B201,'All Ticket'!$D$219:$E$386,2,0)</f>
        <v>#N/A</v>
      </c>
      <c r="D201" s="59">
        <v>104401</v>
      </c>
      <c r="E201" s="60" t="e">
        <f>VLOOKUP(D201,'All Ticket'!$F$219:$G$743,2,0)</f>
        <v>#N/A</v>
      </c>
      <c r="F201" s="61">
        <f>'[6]August 2026 Schedule'!X559-'[6]August 2026 Schedule'!Z559</f>
        <v>5132571.549999998</v>
      </c>
      <c r="G201" s="62" t="s">
        <v>70</v>
      </c>
    </row>
    <row r="202" spans="1:7" ht="38.15" customHeight="1" x14ac:dyDescent="0.35">
      <c r="A202" s="42"/>
      <c r="B202" s="57" t="s">
        <v>53</v>
      </c>
      <c r="C202" s="58" t="e">
        <f>VLOOKUP(B202,'All Ticket'!$D$219:$E$386,2,0)</f>
        <v>#N/A</v>
      </c>
      <c r="D202" s="59">
        <v>208130</v>
      </c>
      <c r="E202" s="60" t="e">
        <f>VLOOKUP(D202,'All Ticket'!$F$219:$G$743,2,0)</f>
        <v>#N/A</v>
      </c>
      <c r="F202" s="61">
        <f>'[6]August 2026 Schedule'!Z559</f>
        <v>193871.44</v>
      </c>
      <c r="G202" s="62" t="s">
        <v>70</v>
      </c>
    </row>
    <row r="203" spans="1:7" ht="38.15" customHeight="1" thickBot="1" x14ac:dyDescent="0.4">
      <c r="A203" s="42"/>
      <c r="B203" s="113" t="s">
        <v>55</v>
      </c>
      <c r="C203" s="114"/>
      <c r="D203" s="114"/>
      <c r="E203" s="115"/>
      <c r="F203" s="63">
        <f>SUM(F201:F202)</f>
        <v>5326442.9899999984</v>
      </c>
      <c r="G203" s="64"/>
    </row>
    <row r="204" spans="1:7" ht="22" customHeight="1" x14ac:dyDescent="0.35">
      <c r="A204" s="42"/>
      <c r="B204" s="69"/>
      <c r="C204" s="70"/>
      <c r="D204" s="71">
        <f>F197-F203</f>
        <v>-5152727.8699999982</v>
      </c>
      <c r="E204" s="70"/>
      <c r="F204" s="72"/>
      <c r="G204" s="73"/>
    </row>
    <row r="205" spans="1:7" ht="22" customHeight="1" x14ac:dyDescent="0.35">
      <c r="A205" s="42"/>
      <c r="B205" s="47" t="s">
        <v>56</v>
      </c>
      <c r="C205" s="48"/>
      <c r="D205" s="48"/>
      <c r="E205" s="48"/>
      <c r="F205" s="48"/>
      <c r="G205" s="49"/>
    </row>
    <row r="206" spans="1:7" ht="22" customHeight="1" x14ac:dyDescent="0.35">
      <c r="A206" s="42"/>
      <c r="B206" s="116" t="s">
        <v>57</v>
      </c>
      <c r="C206" s="117"/>
      <c r="D206" s="117"/>
      <c r="E206" s="117"/>
      <c r="F206" s="117"/>
      <c r="G206" s="118"/>
    </row>
    <row r="207" spans="1:7" ht="22" customHeight="1" x14ac:dyDescent="0.35">
      <c r="A207" s="42"/>
      <c r="B207" s="74"/>
      <c r="C207" s="75"/>
      <c r="D207" s="119" t="str">
        <f>G201</f>
        <v>Office rent and stamp duty expense of Outline Branches for the month of August ,2026.</v>
      </c>
      <c r="E207" s="119"/>
      <c r="F207" s="119"/>
      <c r="G207" s="120"/>
    </row>
    <row r="208" spans="1:7" ht="22" customHeight="1" x14ac:dyDescent="0.35">
      <c r="A208" s="42"/>
      <c r="B208" s="121" t="s">
        <v>58</v>
      </c>
      <c r="C208" s="122"/>
      <c r="D208" s="122"/>
      <c r="E208" s="122"/>
      <c r="F208" s="48"/>
      <c r="G208" s="49"/>
    </row>
    <row r="209" spans="1:7" ht="22" customHeight="1" x14ac:dyDescent="0.35">
      <c r="A209" s="42"/>
      <c r="B209" s="76"/>
      <c r="C209" s="77"/>
      <c r="D209" s="78" t="s">
        <v>59</v>
      </c>
      <c r="E209" s="79"/>
      <c r="F209" s="80"/>
      <c r="G209" s="81"/>
    </row>
    <row r="210" spans="1:7" ht="22" customHeight="1" x14ac:dyDescent="0.35">
      <c r="A210" s="42"/>
      <c r="B210" s="82"/>
      <c r="C210" s="83"/>
      <c r="D210" s="107" t="e">
        <f ca="1">[7]!spellNumber(F203)</f>
        <v>#NAME?</v>
      </c>
      <c r="E210" s="107"/>
      <c r="F210" s="107"/>
      <c r="G210" s="84"/>
    </row>
    <row r="211" spans="1:7" ht="22" customHeight="1" x14ac:dyDescent="0.35">
      <c r="A211" s="42"/>
      <c r="B211" s="82"/>
      <c r="C211" s="83"/>
      <c r="D211" s="107"/>
      <c r="E211" s="107"/>
      <c r="F211" s="107"/>
      <c r="G211" s="49"/>
    </row>
    <row r="212" spans="1:7" ht="22" customHeight="1" x14ac:dyDescent="0.35">
      <c r="A212" s="42"/>
      <c r="B212" s="47"/>
      <c r="C212" s="48"/>
      <c r="D212" s="83"/>
      <c r="E212" s="83"/>
      <c r="F212" s="108" t="s">
        <v>60</v>
      </c>
      <c r="G212" s="109"/>
    </row>
    <row r="213" spans="1:7" ht="22" customHeight="1" x14ac:dyDescent="0.35">
      <c r="A213" s="42"/>
      <c r="B213" s="47"/>
      <c r="C213" s="48"/>
      <c r="D213" s="48"/>
      <c r="E213" s="48"/>
      <c r="F213" s="48"/>
      <c r="G213" s="49" t="s">
        <v>61</v>
      </c>
    </row>
    <row r="214" spans="1:7" ht="22" customHeight="1" thickBot="1" x14ac:dyDescent="0.4">
      <c r="B214" s="85"/>
      <c r="C214" s="86"/>
      <c r="D214" s="86"/>
      <c r="E214" s="86"/>
      <c r="F214" s="86"/>
      <c r="G214" s="87"/>
    </row>
    <row r="215" spans="1:7" ht="15" customHeight="1" thickTop="1" x14ac:dyDescent="0.35"/>
    <row r="216" spans="1:7" ht="15" customHeight="1" x14ac:dyDescent="0.35"/>
    <row r="217" spans="1:7" ht="15" customHeight="1" x14ac:dyDescent="0.35">
      <c r="F217" s="89"/>
    </row>
    <row r="218" spans="1:7" ht="15" customHeight="1" x14ac:dyDescent="0.35"/>
    <row r="219" spans="1:7" ht="30" customHeight="1" x14ac:dyDescent="0.35">
      <c r="A219" s="40" t="s">
        <v>73</v>
      </c>
      <c r="B219" s="139"/>
      <c r="C219" s="139"/>
      <c r="D219" s="140"/>
      <c r="E219" s="140"/>
      <c r="F219" s="141"/>
      <c r="G219" s="140"/>
    </row>
    <row r="220" spans="1:7" ht="30" customHeight="1" x14ac:dyDescent="0.35">
      <c r="B220" s="139"/>
      <c r="C220" s="139"/>
      <c r="D220" s="142"/>
      <c r="E220" s="142"/>
      <c r="F220" s="143"/>
      <c r="G220" s="144"/>
    </row>
    <row r="221" spans="1:7" ht="30" customHeight="1" x14ac:dyDescent="0.35">
      <c r="B221" s="139"/>
      <c r="C221" s="139"/>
      <c r="D221" s="142"/>
      <c r="E221" s="142"/>
      <c r="F221" s="143"/>
      <c r="G221" s="144"/>
    </row>
    <row r="222" spans="1:7" ht="30" customHeight="1" x14ac:dyDescent="0.35">
      <c r="B222" s="139"/>
      <c r="C222" s="139"/>
      <c r="D222" s="142"/>
      <c r="E222" s="142"/>
      <c r="F222" s="143"/>
      <c r="G222" s="144"/>
    </row>
    <row r="223" spans="1:7" ht="30" customHeight="1" x14ac:dyDescent="0.35">
      <c r="B223" s="139"/>
      <c r="C223" s="139"/>
      <c r="D223" s="142"/>
      <c r="E223" s="142"/>
      <c r="F223" s="143"/>
      <c r="G223" s="144"/>
    </row>
    <row r="224" spans="1:7" ht="30" customHeight="1" x14ac:dyDescent="0.35">
      <c r="B224" s="139"/>
      <c r="C224" s="139"/>
      <c r="D224" s="142"/>
      <c r="E224" s="142"/>
      <c r="F224" s="143"/>
      <c r="G224" s="144"/>
    </row>
    <row r="225" spans="1:7" ht="30" customHeight="1" x14ac:dyDescent="0.35">
      <c r="B225" s="139"/>
      <c r="C225" s="139"/>
      <c r="D225" s="142"/>
      <c r="E225" s="142"/>
      <c r="F225" s="143"/>
      <c r="G225" s="144"/>
    </row>
    <row r="226" spans="1:7" ht="30" customHeight="1" x14ac:dyDescent="0.35">
      <c r="B226" s="139"/>
      <c r="C226" s="139"/>
      <c r="D226" s="142"/>
      <c r="E226" s="142"/>
      <c r="F226" s="143"/>
      <c r="G226" s="144"/>
    </row>
    <row r="227" spans="1:7" ht="30" customHeight="1" x14ac:dyDescent="0.35">
      <c r="B227" s="139"/>
      <c r="C227" s="139"/>
      <c r="D227" s="142"/>
      <c r="E227" s="142"/>
      <c r="F227" s="143"/>
      <c r="G227" s="144"/>
    </row>
    <row r="228" spans="1:7" ht="30" customHeight="1" x14ac:dyDescent="0.35">
      <c r="B228" s="139"/>
      <c r="C228" s="139"/>
      <c r="D228" s="142"/>
      <c r="E228" s="142"/>
      <c r="F228" s="143"/>
      <c r="G228" s="144"/>
    </row>
    <row r="229" spans="1:7" ht="30" customHeight="1" x14ac:dyDescent="0.35">
      <c r="B229" s="139"/>
      <c r="C229" s="139"/>
      <c r="D229" s="142"/>
      <c r="E229" s="142"/>
      <c r="F229" s="143"/>
      <c r="G229" s="144"/>
    </row>
    <row r="230" spans="1:7" ht="30" customHeight="1" x14ac:dyDescent="0.35">
      <c r="A230" s="42"/>
      <c r="B230" s="145"/>
      <c r="C230" s="145"/>
      <c r="D230" s="142"/>
      <c r="E230" s="142"/>
      <c r="F230" s="143"/>
      <c r="G230" s="144"/>
    </row>
    <row r="231" spans="1:7" ht="30" customHeight="1" x14ac:dyDescent="0.35">
      <c r="A231" s="42"/>
      <c r="B231" s="145"/>
      <c r="C231" s="145"/>
      <c r="D231" s="142"/>
      <c r="E231" s="142"/>
      <c r="F231" s="143"/>
      <c r="G231" s="144"/>
    </row>
    <row r="232" spans="1:7" ht="30" customHeight="1" x14ac:dyDescent="0.35">
      <c r="A232" s="42"/>
      <c r="B232" s="145"/>
      <c r="C232" s="145"/>
      <c r="D232" s="142"/>
      <c r="E232" s="142"/>
      <c r="F232" s="143"/>
      <c r="G232" s="144"/>
    </row>
    <row r="233" spans="1:7" ht="30" customHeight="1" x14ac:dyDescent="0.35">
      <c r="A233" s="42"/>
      <c r="B233" s="145"/>
      <c r="C233" s="145"/>
      <c r="D233" s="142"/>
      <c r="E233" s="142"/>
      <c r="F233" s="143"/>
      <c r="G233" s="144"/>
    </row>
    <row r="234" spans="1:7" ht="30" customHeight="1" x14ac:dyDescent="0.35">
      <c r="A234" s="42"/>
      <c r="B234" s="145"/>
      <c r="C234" s="145"/>
      <c r="D234" s="142"/>
      <c r="E234" s="142"/>
      <c r="F234" s="143"/>
      <c r="G234" s="144"/>
    </row>
    <row r="235" spans="1:7" ht="30" customHeight="1" x14ac:dyDescent="0.35">
      <c r="A235" s="42"/>
      <c r="B235" s="145"/>
      <c r="C235" s="145"/>
      <c r="D235" s="142"/>
      <c r="E235" s="142"/>
      <c r="F235" s="143"/>
      <c r="G235" s="144"/>
    </row>
    <row r="236" spans="1:7" ht="30" customHeight="1" x14ac:dyDescent="0.35">
      <c r="A236" s="42"/>
      <c r="B236" s="145"/>
      <c r="C236" s="145"/>
      <c r="D236" s="142"/>
      <c r="E236" s="142"/>
      <c r="F236" s="143"/>
      <c r="G236" s="144"/>
    </row>
    <row r="237" spans="1:7" ht="30" customHeight="1" x14ac:dyDescent="0.35">
      <c r="A237" s="42"/>
      <c r="B237" s="145"/>
      <c r="C237" s="145"/>
      <c r="D237" s="142"/>
      <c r="E237" s="142"/>
      <c r="F237" s="143"/>
      <c r="G237" s="144"/>
    </row>
    <row r="238" spans="1:7" ht="30" customHeight="1" x14ac:dyDescent="0.35">
      <c r="A238" s="42"/>
      <c r="B238" s="145"/>
      <c r="C238" s="145"/>
      <c r="D238" s="142"/>
      <c r="E238" s="142"/>
      <c r="F238" s="143"/>
      <c r="G238" s="144"/>
    </row>
    <row r="239" spans="1:7" ht="30" customHeight="1" x14ac:dyDescent="0.35">
      <c r="A239" s="42"/>
      <c r="B239" s="145"/>
      <c r="C239" s="145"/>
      <c r="D239" s="142"/>
      <c r="E239" s="142"/>
      <c r="F239" s="143"/>
      <c r="G239" s="144"/>
    </row>
    <row r="240" spans="1:7" ht="30" customHeight="1" x14ac:dyDescent="0.35">
      <c r="A240" s="42"/>
      <c r="B240" s="145"/>
      <c r="C240" s="145"/>
      <c r="D240" s="142"/>
      <c r="E240" s="142"/>
      <c r="F240" s="143"/>
      <c r="G240" s="144"/>
    </row>
    <row r="241" spans="1:7" ht="30" customHeight="1" x14ac:dyDescent="0.35">
      <c r="A241" s="42"/>
      <c r="B241" s="145"/>
      <c r="C241" s="145"/>
      <c r="D241" s="142"/>
      <c r="E241" s="142"/>
      <c r="F241" s="143"/>
      <c r="G241" s="144"/>
    </row>
    <row r="242" spans="1:7" ht="30" customHeight="1" x14ac:dyDescent="0.35">
      <c r="A242" s="42"/>
      <c r="B242" s="145"/>
      <c r="C242" s="145"/>
      <c r="D242" s="142"/>
      <c r="E242" s="142"/>
      <c r="F242" s="143"/>
      <c r="G242" s="144"/>
    </row>
    <row r="243" spans="1:7" ht="30" customHeight="1" x14ac:dyDescent="0.35">
      <c r="A243" s="42"/>
      <c r="B243" s="42"/>
      <c r="C243" s="42"/>
      <c r="D243" s="93"/>
      <c r="E243" s="93"/>
      <c r="F243" s="94"/>
      <c r="G243" s="95"/>
    </row>
    <row r="244" spans="1:7" ht="30" customHeight="1" x14ac:dyDescent="0.35">
      <c r="A244" s="42"/>
      <c r="B244" s="42"/>
      <c r="C244" s="42"/>
      <c r="D244" s="90"/>
      <c r="E244" s="90"/>
      <c r="F244" s="91"/>
      <c r="G244" s="92"/>
    </row>
    <row r="245" spans="1:7" ht="30" customHeight="1" x14ac:dyDescent="0.35">
      <c r="A245" s="42"/>
      <c r="B245" s="42"/>
      <c r="C245" s="42"/>
      <c r="D245" s="93"/>
      <c r="E245" s="93"/>
      <c r="F245" s="94"/>
      <c r="G245" s="95"/>
    </row>
    <row r="246" spans="1:7" ht="30" customHeight="1" x14ac:dyDescent="0.35">
      <c r="A246" s="42"/>
      <c r="B246" s="42"/>
      <c r="C246" s="42"/>
      <c r="D246" s="90"/>
      <c r="E246" s="90"/>
      <c r="F246" s="91"/>
      <c r="G246" s="92"/>
    </row>
    <row r="247" spans="1:7" ht="30" customHeight="1" x14ac:dyDescent="0.35">
      <c r="A247" s="42"/>
      <c r="B247" s="42"/>
      <c r="C247" s="42"/>
      <c r="D247" s="93"/>
      <c r="E247" s="93"/>
      <c r="F247" s="94"/>
      <c r="G247" s="95"/>
    </row>
    <row r="248" spans="1:7" ht="30" customHeight="1" x14ac:dyDescent="0.35">
      <c r="A248" s="42"/>
      <c r="B248" s="42"/>
      <c r="C248" s="42"/>
      <c r="D248" s="90"/>
      <c r="E248" s="90"/>
      <c r="F248" s="91"/>
      <c r="G248" s="92"/>
    </row>
    <row r="249" spans="1:7" ht="30" customHeight="1" x14ac:dyDescent="0.35">
      <c r="A249" s="42"/>
      <c r="B249" s="42"/>
      <c r="C249" s="42"/>
      <c r="D249" s="93"/>
      <c r="E249" s="93"/>
      <c r="F249" s="94"/>
      <c r="G249" s="95"/>
    </row>
    <row r="250" spans="1:7" ht="30" customHeight="1" x14ac:dyDescent="0.35">
      <c r="A250" s="42"/>
      <c r="B250" s="42"/>
      <c r="C250" s="42"/>
      <c r="D250" s="90"/>
      <c r="E250" s="90"/>
      <c r="F250" s="91"/>
      <c r="G250" s="92"/>
    </row>
    <row r="251" spans="1:7" ht="30" customHeight="1" x14ac:dyDescent="0.35">
      <c r="A251" s="42"/>
      <c r="B251" s="42"/>
      <c r="C251" s="42"/>
      <c r="D251" s="93"/>
      <c r="E251" s="93"/>
      <c r="F251" s="94"/>
      <c r="G251" s="95"/>
    </row>
    <row r="252" spans="1:7" ht="30" customHeight="1" x14ac:dyDescent="0.35">
      <c r="A252" s="42"/>
      <c r="B252" s="42"/>
      <c r="C252" s="42"/>
      <c r="D252" s="90"/>
      <c r="E252" s="90"/>
      <c r="F252" s="91"/>
      <c r="G252" s="92"/>
    </row>
    <row r="253" spans="1:7" ht="30" customHeight="1" x14ac:dyDescent="0.35">
      <c r="A253" s="42"/>
      <c r="B253" s="42"/>
      <c r="C253" s="42"/>
      <c r="D253" s="93"/>
      <c r="E253" s="93"/>
      <c r="F253" s="94"/>
      <c r="G253" s="95"/>
    </row>
    <row r="254" spans="1:7" ht="30" customHeight="1" x14ac:dyDescent="0.35">
      <c r="A254" s="42"/>
      <c r="B254" s="42"/>
      <c r="C254" s="42"/>
      <c r="D254" s="90"/>
      <c r="E254" s="90"/>
      <c r="F254" s="91"/>
      <c r="G254" s="92"/>
    </row>
    <row r="255" spans="1:7" ht="30" customHeight="1" x14ac:dyDescent="0.35">
      <c r="A255" s="42"/>
      <c r="B255" s="42"/>
      <c r="C255" s="42"/>
      <c r="D255" s="93"/>
      <c r="E255" s="93"/>
      <c r="F255" s="94"/>
      <c r="G255" s="95"/>
    </row>
    <row r="256" spans="1:7" ht="30" customHeight="1" x14ac:dyDescent="0.35">
      <c r="A256" s="42"/>
      <c r="B256" s="42"/>
      <c r="C256" s="42"/>
      <c r="D256" s="90"/>
      <c r="E256" s="90"/>
      <c r="F256" s="91"/>
      <c r="G256" s="92"/>
    </row>
    <row r="257" spans="1:7" ht="30" customHeight="1" x14ac:dyDescent="0.35">
      <c r="A257" s="42"/>
      <c r="B257" s="42"/>
      <c r="C257" s="42"/>
      <c r="D257" s="93"/>
      <c r="E257" s="93"/>
      <c r="F257" s="94"/>
      <c r="G257" s="95"/>
    </row>
    <row r="258" spans="1:7" ht="30" customHeight="1" x14ac:dyDescent="0.35">
      <c r="A258" s="42"/>
      <c r="B258" s="42"/>
      <c r="C258" s="42"/>
      <c r="D258" s="90"/>
      <c r="E258" s="90"/>
      <c r="F258" s="91"/>
      <c r="G258" s="92"/>
    </row>
    <row r="259" spans="1:7" ht="30" customHeight="1" x14ac:dyDescent="0.35">
      <c r="A259" s="42"/>
      <c r="B259" s="42"/>
      <c r="C259" s="42"/>
      <c r="D259" s="93"/>
      <c r="E259" s="93"/>
      <c r="F259" s="94"/>
      <c r="G259" s="95"/>
    </row>
    <row r="260" spans="1:7" ht="30" customHeight="1" x14ac:dyDescent="0.35">
      <c r="A260" s="42"/>
      <c r="B260" s="42"/>
      <c r="C260" s="42"/>
      <c r="D260" s="90"/>
      <c r="E260" s="90"/>
      <c r="F260" s="91"/>
      <c r="G260" s="92"/>
    </row>
    <row r="261" spans="1:7" ht="30" customHeight="1" x14ac:dyDescent="0.35">
      <c r="A261" s="42"/>
      <c r="B261" s="42"/>
      <c r="C261" s="42"/>
      <c r="D261" s="93"/>
      <c r="E261" s="93"/>
      <c r="F261" s="94"/>
      <c r="G261" s="95"/>
    </row>
    <row r="262" spans="1:7" ht="30" customHeight="1" x14ac:dyDescent="0.35">
      <c r="A262" s="42"/>
      <c r="B262" s="42"/>
      <c r="C262" s="42"/>
      <c r="D262" s="90"/>
      <c r="E262" s="90"/>
      <c r="F262" s="91"/>
      <c r="G262" s="92"/>
    </row>
    <row r="263" spans="1:7" ht="30" customHeight="1" x14ac:dyDescent="0.35">
      <c r="A263" s="42"/>
      <c r="B263" s="42"/>
      <c r="C263" s="42"/>
      <c r="D263" s="93"/>
      <c r="E263" s="93"/>
      <c r="F263" s="94"/>
      <c r="G263" s="95"/>
    </row>
    <row r="264" spans="1:7" ht="30" customHeight="1" x14ac:dyDescent="0.35">
      <c r="A264" s="42"/>
      <c r="B264" s="42"/>
      <c r="C264" s="42"/>
      <c r="D264" s="90"/>
      <c r="E264" s="90"/>
      <c r="F264" s="91"/>
      <c r="G264" s="92"/>
    </row>
    <row r="265" spans="1:7" ht="30" customHeight="1" x14ac:dyDescent="0.35">
      <c r="A265" s="42"/>
      <c r="B265" s="42"/>
      <c r="C265" s="42"/>
      <c r="D265" s="93"/>
      <c r="E265" s="93"/>
      <c r="F265" s="94"/>
      <c r="G265" s="95"/>
    </row>
    <row r="266" spans="1:7" ht="30" customHeight="1" x14ac:dyDescent="0.35">
      <c r="A266" s="42"/>
      <c r="B266" s="42"/>
      <c r="C266" s="42"/>
      <c r="D266" s="90"/>
      <c r="E266" s="90"/>
      <c r="F266" s="91"/>
      <c r="G266" s="92"/>
    </row>
    <row r="267" spans="1:7" ht="30" customHeight="1" x14ac:dyDescent="0.35">
      <c r="A267" s="42"/>
      <c r="B267" s="42"/>
      <c r="C267" s="42"/>
      <c r="D267" s="93"/>
      <c r="E267" s="93"/>
      <c r="F267" s="94"/>
      <c r="G267" s="95"/>
    </row>
    <row r="268" spans="1:7" ht="30" customHeight="1" x14ac:dyDescent="0.35">
      <c r="A268" s="42"/>
      <c r="B268" s="42"/>
      <c r="C268" s="42"/>
      <c r="D268" s="90"/>
      <c r="E268" s="90"/>
      <c r="F268" s="91"/>
      <c r="G268" s="92"/>
    </row>
    <row r="269" spans="1:7" ht="30" customHeight="1" x14ac:dyDescent="0.35">
      <c r="A269" s="42"/>
      <c r="B269" s="42"/>
      <c r="C269" s="42"/>
      <c r="D269" s="93"/>
      <c r="E269" s="93"/>
      <c r="F269" s="94"/>
      <c r="G269" s="95"/>
    </row>
    <row r="270" spans="1:7" ht="30" customHeight="1" x14ac:dyDescent="0.35">
      <c r="A270" s="42"/>
      <c r="B270" s="42"/>
      <c r="C270" s="42"/>
      <c r="D270" s="90"/>
      <c r="E270" s="90"/>
      <c r="F270" s="91"/>
      <c r="G270" s="92"/>
    </row>
    <row r="271" spans="1:7" ht="30" customHeight="1" x14ac:dyDescent="0.35">
      <c r="A271" s="42"/>
      <c r="B271" s="42"/>
      <c r="C271" s="42"/>
      <c r="D271" s="93"/>
      <c r="E271" s="93"/>
      <c r="F271" s="94"/>
      <c r="G271" s="95"/>
    </row>
    <row r="272" spans="1:7" ht="30" customHeight="1" x14ac:dyDescent="0.35">
      <c r="A272" s="42"/>
      <c r="B272" s="42"/>
      <c r="C272" s="42"/>
      <c r="D272" s="90"/>
      <c r="E272" s="90"/>
      <c r="F272" s="91"/>
      <c r="G272" s="92"/>
    </row>
    <row r="273" spans="1:7" ht="30" customHeight="1" x14ac:dyDescent="0.35">
      <c r="A273" s="42"/>
      <c r="B273" s="42"/>
      <c r="C273" s="42"/>
      <c r="D273" s="93"/>
      <c r="E273" s="93"/>
      <c r="F273" s="94"/>
      <c r="G273" s="95"/>
    </row>
    <row r="274" spans="1:7" ht="30" customHeight="1" x14ac:dyDescent="0.35">
      <c r="A274" s="42"/>
      <c r="B274" s="42"/>
      <c r="C274" s="42"/>
      <c r="D274" s="90"/>
      <c r="E274" s="90"/>
      <c r="F274" s="91"/>
      <c r="G274" s="92"/>
    </row>
    <row r="275" spans="1:7" ht="30" customHeight="1" x14ac:dyDescent="0.35">
      <c r="A275" s="42"/>
      <c r="B275" s="42"/>
      <c r="C275" s="42"/>
      <c r="D275" s="93"/>
      <c r="E275" s="93"/>
      <c r="F275" s="94"/>
      <c r="G275" s="95"/>
    </row>
    <row r="276" spans="1:7" ht="30" customHeight="1" x14ac:dyDescent="0.35">
      <c r="A276" s="42"/>
      <c r="B276" s="42"/>
      <c r="C276" s="42"/>
      <c r="D276" s="90"/>
      <c r="E276" s="90"/>
      <c r="F276" s="91"/>
      <c r="G276" s="92"/>
    </row>
    <row r="277" spans="1:7" ht="30" customHeight="1" x14ac:dyDescent="0.35">
      <c r="A277" s="42"/>
      <c r="B277" s="42"/>
      <c r="C277" s="42"/>
      <c r="D277" s="93"/>
      <c r="E277" s="93"/>
      <c r="F277" s="94"/>
      <c r="G277" s="95"/>
    </row>
    <row r="278" spans="1:7" ht="30" customHeight="1" x14ac:dyDescent="0.35">
      <c r="A278" s="42"/>
      <c r="B278" s="42"/>
      <c r="C278" s="42"/>
      <c r="D278" s="90"/>
      <c r="E278" s="90"/>
      <c r="F278" s="91"/>
      <c r="G278" s="92"/>
    </row>
    <row r="279" spans="1:7" ht="30" customHeight="1" x14ac:dyDescent="0.35">
      <c r="A279" s="42"/>
      <c r="B279" s="42"/>
      <c r="C279" s="42"/>
      <c r="D279" s="93"/>
      <c r="E279" s="93"/>
      <c r="F279" s="94"/>
      <c r="G279" s="95"/>
    </row>
    <row r="280" spans="1:7" ht="30" customHeight="1" x14ac:dyDescent="0.35">
      <c r="A280" s="42"/>
      <c r="B280" s="42"/>
      <c r="C280" s="42"/>
      <c r="D280" s="90"/>
      <c r="E280" s="90"/>
      <c r="F280" s="91"/>
      <c r="G280" s="92"/>
    </row>
    <row r="281" spans="1:7" ht="30" customHeight="1" x14ac:dyDescent="0.35">
      <c r="A281" s="42"/>
      <c r="B281" s="42"/>
      <c r="C281" s="42"/>
      <c r="D281" s="93"/>
      <c r="E281" s="93"/>
      <c r="F281" s="94"/>
      <c r="G281" s="95"/>
    </row>
    <row r="282" spans="1:7" ht="30" customHeight="1" x14ac:dyDescent="0.35">
      <c r="A282" s="42"/>
      <c r="B282" s="42"/>
      <c r="C282" s="42"/>
      <c r="D282" s="90"/>
      <c r="E282" s="90"/>
      <c r="F282" s="91"/>
      <c r="G282" s="92"/>
    </row>
    <row r="283" spans="1:7" ht="30" customHeight="1" x14ac:dyDescent="0.35">
      <c r="A283" s="42"/>
      <c r="B283" s="42"/>
      <c r="C283" s="42"/>
      <c r="D283" s="93"/>
      <c r="E283" s="93"/>
      <c r="F283" s="94"/>
      <c r="G283" s="95"/>
    </row>
    <row r="284" spans="1:7" ht="30" customHeight="1" x14ac:dyDescent="0.35">
      <c r="A284" s="42"/>
      <c r="B284" s="42"/>
      <c r="C284" s="42"/>
      <c r="D284" s="90"/>
      <c r="E284" s="90"/>
      <c r="F284" s="91"/>
      <c r="G284" s="92"/>
    </row>
    <row r="285" spans="1:7" ht="30" customHeight="1" x14ac:dyDescent="0.35">
      <c r="A285" s="42"/>
      <c r="B285" s="42"/>
      <c r="C285" s="42"/>
      <c r="D285" s="93"/>
      <c r="E285" s="93"/>
      <c r="F285" s="94"/>
      <c r="G285" s="95"/>
    </row>
    <row r="286" spans="1:7" ht="30" customHeight="1" x14ac:dyDescent="0.35">
      <c r="A286" s="42"/>
      <c r="B286" s="42"/>
      <c r="C286" s="42"/>
      <c r="D286" s="90"/>
      <c r="E286" s="90"/>
      <c r="F286" s="91"/>
      <c r="G286" s="92"/>
    </row>
    <row r="287" spans="1:7" ht="30" customHeight="1" x14ac:dyDescent="0.35">
      <c r="A287" s="42"/>
      <c r="B287" s="42"/>
      <c r="C287" s="42"/>
      <c r="D287" s="93"/>
      <c r="E287" s="93"/>
      <c r="F287" s="94"/>
      <c r="G287" s="95"/>
    </row>
    <row r="288" spans="1:7" ht="30" customHeight="1" x14ac:dyDescent="0.35">
      <c r="A288" s="42"/>
      <c r="B288" s="42"/>
      <c r="C288" s="42"/>
      <c r="D288" s="90"/>
      <c r="E288" s="90"/>
      <c r="F288" s="91"/>
      <c r="G288" s="92"/>
    </row>
    <row r="289" spans="1:7" ht="30" customHeight="1" x14ac:dyDescent="0.35">
      <c r="A289" s="42"/>
      <c r="B289" s="42"/>
      <c r="C289" s="42"/>
      <c r="D289" s="93"/>
      <c r="E289" s="93"/>
      <c r="F289" s="94"/>
      <c r="G289" s="95"/>
    </row>
    <row r="290" spans="1:7" ht="30" customHeight="1" x14ac:dyDescent="0.35">
      <c r="A290" s="42"/>
      <c r="B290" s="42"/>
      <c r="C290" s="42"/>
      <c r="D290" s="90"/>
      <c r="E290" s="90"/>
      <c r="F290" s="91"/>
      <c r="G290" s="92"/>
    </row>
    <row r="291" spans="1:7" ht="30" customHeight="1" x14ac:dyDescent="0.35">
      <c r="A291" s="42"/>
      <c r="B291" s="42"/>
      <c r="C291" s="42"/>
      <c r="D291" s="93"/>
      <c r="E291" s="93"/>
      <c r="F291" s="94"/>
      <c r="G291" s="95"/>
    </row>
    <row r="292" spans="1:7" ht="30" customHeight="1" x14ac:dyDescent="0.35">
      <c r="A292" s="42"/>
      <c r="B292" s="42"/>
      <c r="C292" s="42"/>
      <c r="D292" s="90"/>
      <c r="E292" s="90"/>
      <c r="F292" s="91"/>
      <c r="G292" s="92"/>
    </row>
    <row r="293" spans="1:7" ht="30" customHeight="1" x14ac:dyDescent="0.35">
      <c r="A293" s="42"/>
      <c r="B293" s="42"/>
      <c r="C293" s="42"/>
      <c r="D293" s="93"/>
      <c r="E293" s="93"/>
      <c r="F293" s="94"/>
      <c r="G293" s="95"/>
    </row>
    <row r="294" spans="1:7" ht="30" customHeight="1" x14ac:dyDescent="0.35">
      <c r="A294" s="42"/>
      <c r="B294" s="42"/>
      <c r="C294" s="42"/>
      <c r="D294" s="90"/>
      <c r="E294" s="90"/>
      <c r="F294" s="91"/>
      <c r="G294" s="92"/>
    </row>
    <row r="295" spans="1:7" ht="30" customHeight="1" x14ac:dyDescent="0.35">
      <c r="A295" s="42"/>
      <c r="B295" s="42"/>
      <c r="C295" s="42"/>
      <c r="D295" s="93"/>
      <c r="E295" s="93"/>
      <c r="F295" s="94"/>
      <c r="G295" s="95"/>
    </row>
    <row r="296" spans="1:7" ht="30" customHeight="1" x14ac:dyDescent="0.35">
      <c r="A296" s="42"/>
      <c r="B296" s="42"/>
      <c r="C296" s="42"/>
      <c r="D296" s="90"/>
      <c r="E296" s="90"/>
      <c r="F296" s="91"/>
      <c r="G296" s="92"/>
    </row>
    <row r="297" spans="1:7" ht="30" customHeight="1" x14ac:dyDescent="0.35">
      <c r="A297" s="42"/>
      <c r="B297" s="42"/>
      <c r="C297" s="42"/>
      <c r="D297" s="93"/>
      <c r="E297" s="93"/>
      <c r="F297" s="94"/>
      <c r="G297" s="95"/>
    </row>
    <row r="298" spans="1:7" ht="30" customHeight="1" x14ac:dyDescent="0.35">
      <c r="A298" s="42"/>
      <c r="B298" s="42"/>
      <c r="C298" s="42"/>
      <c r="D298" s="90"/>
      <c r="E298" s="90"/>
      <c r="F298" s="91"/>
      <c r="G298" s="92"/>
    </row>
    <row r="299" spans="1:7" ht="30" customHeight="1" x14ac:dyDescent="0.35">
      <c r="A299" s="42"/>
      <c r="B299" s="42"/>
      <c r="C299" s="42"/>
      <c r="D299" s="93"/>
      <c r="E299" s="93"/>
      <c r="F299" s="94"/>
      <c r="G299" s="95"/>
    </row>
    <row r="300" spans="1:7" ht="30" customHeight="1" x14ac:dyDescent="0.35">
      <c r="A300" s="42"/>
      <c r="B300" s="42"/>
      <c r="C300" s="42"/>
      <c r="D300" s="90"/>
      <c r="E300" s="90"/>
      <c r="F300" s="91"/>
      <c r="G300" s="92"/>
    </row>
    <row r="301" spans="1:7" ht="30" customHeight="1" x14ac:dyDescent="0.35">
      <c r="A301" s="42"/>
      <c r="B301" s="42"/>
      <c r="C301" s="42"/>
      <c r="D301" s="93"/>
      <c r="E301" s="93"/>
      <c r="F301" s="94"/>
      <c r="G301" s="95"/>
    </row>
    <row r="302" spans="1:7" ht="30" customHeight="1" x14ac:dyDescent="0.35">
      <c r="A302" s="42"/>
      <c r="B302" s="42"/>
      <c r="C302" s="42"/>
      <c r="D302" s="90"/>
      <c r="E302" s="90"/>
      <c r="F302" s="91"/>
      <c r="G302" s="92"/>
    </row>
    <row r="303" spans="1:7" ht="30" customHeight="1" x14ac:dyDescent="0.35">
      <c r="A303" s="42"/>
      <c r="B303" s="42"/>
      <c r="C303" s="42"/>
      <c r="D303" s="93"/>
      <c r="E303" s="93"/>
      <c r="F303" s="94"/>
      <c r="G303" s="95"/>
    </row>
    <row r="304" spans="1:7" ht="30" customHeight="1" x14ac:dyDescent="0.35">
      <c r="A304" s="42"/>
      <c r="B304" s="42"/>
      <c r="C304" s="42"/>
      <c r="D304" s="90"/>
      <c r="E304" s="90"/>
      <c r="F304" s="91"/>
      <c r="G304" s="92"/>
    </row>
    <row r="305" spans="1:7" ht="30" customHeight="1" x14ac:dyDescent="0.35">
      <c r="A305" s="42"/>
      <c r="B305" s="42"/>
      <c r="C305" s="42"/>
      <c r="D305" s="93"/>
      <c r="E305" s="93"/>
      <c r="F305" s="94"/>
      <c r="G305" s="95"/>
    </row>
    <row r="306" spans="1:7" ht="30" customHeight="1" x14ac:dyDescent="0.35">
      <c r="A306" s="42"/>
      <c r="B306" s="42"/>
      <c r="C306" s="42"/>
      <c r="D306" s="90"/>
      <c r="E306" s="90"/>
      <c r="F306" s="91"/>
      <c r="G306" s="92"/>
    </row>
    <row r="307" spans="1:7" ht="30" customHeight="1" x14ac:dyDescent="0.35">
      <c r="A307" s="42"/>
      <c r="B307" s="42"/>
      <c r="C307" s="42"/>
      <c r="D307" s="93"/>
      <c r="E307" s="93"/>
      <c r="F307" s="94"/>
      <c r="G307" s="95"/>
    </row>
    <row r="308" spans="1:7" ht="30" customHeight="1" x14ac:dyDescent="0.35">
      <c r="A308" s="42"/>
      <c r="B308" s="42"/>
      <c r="C308" s="42"/>
      <c r="D308" s="90"/>
      <c r="E308" s="90"/>
      <c r="F308" s="91"/>
      <c r="G308" s="92"/>
    </row>
    <row r="309" spans="1:7" ht="30" customHeight="1" x14ac:dyDescent="0.35">
      <c r="A309" s="42"/>
      <c r="B309" s="42"/>
      <c r="C309" s="42"/>
      <c r="D309" s="93"/>
      <c r="E309" s="93"/>
      <c r="F309" s="94"/>
      <c r="G309" s="95"/>
    </row>
    <row r="310" spans="1:7" ht="30" customHeight="1" x14ac:dyDescent="0.35">
      <c r="A310" s="42"/>
      <c r="B310" s="42"/>
      <c r="C310" s="42"/>
      <c r="D310" s="90"/>
      <c r="E310" s="90"/>
      <c r="F310" s="91"/>
      <c r="G310" s="92"/>
    </row>
    <row r="311" spans="1:7" ht="30" customHeight="1" x14ac:dyDescent="0.35">
      <c r="A311" s="42"/>
      <c r="B311" s="42"/>
      <c r="C311" s="42"/>
      <c r="D311" s="93"/>
      <c r="E311" s="93"/>
      <c r="F311" s="94"/>
      <c r="G311" s="95"/>
    </row>
    <row r="312" spans="1:7" ht="30" customHeight="1" x14ac:dyDescent="0.35">
      <c r="A312" s="42"/>
      <c r="B312" s="42"/>
      <c r="C312" s="42"/>
      <c r="D312" s="90"/>
      <c r="E312" s="90"/>
      <c r="F312" s="91"/>
      <c r="G312" s="92"/>
    </row>
    <row r="313" spans="1:7" ht="30" customHeight="1" x14ac:dyDescent="0.35">
      <c r="A313" s="42"/>
      <c r="B313" s="42"/>
      <c r="C313" s="42"/>
      <c r="D313" s="93"/>
      <c r="E313" s="93"/>
      <c r="F313" s="94"/>
      <c r="G313" s="95"/>
    </row>
    <row r="314" spans="1:7" ht="30" customHeight="1" x14ac:dyDescent="0.35">
      <c r="A314" s="42"/>
      <c r="B314" s="42"/>
      <c r="C314" s="42"/>
      <c r="D314" s="90"/>
      <c r="E314" s="90"/>
      <c r="F314" s="91"/>
      <c r="G314" s="92"/>
    </row>
    <row r="315" spans="1:7" ht="30" customHeight="1" x14ac:dyDescent="0.35">
      <c r="A315" s="42"/>
      <c r="B315" s="42"/>
      <c r="C315" s="42"/>
      <c r="D315" s="93"/>
      <c r="E315" s="93"/>
      <c r="F315" s="94"/>
      <c r="G315" s="95"/>
    </row>
    <row r="316" spans="1:7" ht="30" customHeight="1" x14ac:dyDescent="0.35">
      <c r="A316" s="42"/>
      <c r="B316" s="42"/>
      <c r="C316" s="42"/>
      <c r="D316" s="90"/>
      <c r="E316" s="90"/>
      <c r="F316" s="91"/>
      <c r="G316" s="92"/>
    </row>
    <row r="317" spans="1:7" ht="30" customHeight="1" x14ac:dyDescent="0.35">
      <c r="A317" s="42"/>
      <c r="B317" s="42"/>
      <c r="C317" s="42"/>
      <c r="D317" s="93"/>
      <c r="E317" s="93"/>
      <c r="F317" s="94"/>
      <c r="G317" s="95"/>
    </row>
    <row r="318" spans="1:7" ht="30" customHeight="1" x14ac:dyDescent="0.35">
      <c r="A318" s="42"/>
      <c r="B318" s="42"/>
      <c r="C318" s="42"/>
      <c r="D318" s="90"/>
      <c r="E318" s="90"/>
      <c r="F318" s="91"/>
      <c r="G318" s="92"/>
    </row>
    <row r="319" spans="1:7" ht="30" customHeight="1" x14ac:dyDescent="0.35">
      <c r="A319" s="42"/>
      <c r="B319" s="42"/>
      <c r="C319" s="42"/>
      <c r="D319" s="93"/>
      <c r="E319" s="93"/>
      <c r="F319" s="94"/>
      <c r="G319" s="95"/>
    </row>
    <row r="320" spans="1:7" ht="30" customHeight="1" x14ac:dyDescent="0.35">
      <c r="A320" s="42"/>
      <c r="B320" s="42"/>
      <c r="C320" s="42"/>
      <c r="D320" s="90"/>
      <c r="E320" s="90"/>
      <c r="F320" s="91"/>
      <c r="G320" s="92"/>
    </row>
    <row r="321" spans="1:7" ht="30" customHeight="1" x14ac:dyDescent="0.35">
      <c r="A321" s="42"/>
      <c r="B321" s="42"/>
      <c r="C321" s="42"/>
      <c r="D321" s="93"/>
      <c r="E321" s="93"/>
      <c r="F321" s="94"/>
      <c r="G321" s="95"/>
    </row>
    <row r="322" spans="1:7" ht="30" customHeight="1" x14ac:dyDescent="0.35">
      <c r="A322" s="42"/>
      <c r="B322" s="42"/>
      <c r="C322" s="42"/>
      <c r="D322" s="90"/>
      <c r="E322" s="90"/>
      <c r="F322" s="91"/>
      <c r="G322" s="92"/>
    </row>
    <row r="323" spans="1:7" ht="30" customHeight="1" x14ac:dyDescent="0.35">
      <c r="A323" s="42"/>
      <c r="B323" s="42"/>
      <c r="C323" s="42"/>
      <c r="D323" s="93"/>
      <c r="E323" s="93"/>
      <c r="F323" s="94"/>
      <c r="G323" s="95"/>
    </row>
    <row r="324" spans="1:7" ht="30" customHeight="1" x14ac:dyDescent="0.35">
      <c r="A324" s="42"/>
      <c r="B324" s="42"/>
      <c r="C324" s="42"/>
      <c r="D324" s="90"/>
      <c r="E324" s="90"/>
      <c r="F324" s="91"/>
      <c r="G324" s="92"/>
    </row>
    <row r="325" spans="1:7" ht="30" customHeight="1" x14ac:dyDescent="0.35">
      <c r="A325" s="42"/>
      <c r="B325" s="42"/>
      <c r="C325" s="42"/>
      <c r="D325" s="93"/>
      <c r="E325" s="93"/>
      <c r="F325" s="94"/>
      <c r="G325" s="95"/>
    </row>
    <row r="326" spans="1:7" ht="30" customHeight="1" x14ac:dyDescent="0.35">
      <c r="A326" s="42"/>
      <c r="B326" s="42"/>
      <c r="C326" s="42"/>
      <c r="D326" s="90"/>
      <c r="E326" s="90"/>
      <c r="F326" s="91"/>
      <c r="G326" s="92"/>
    </row>
    <row r="327" spans="1:7" ht="30" customHeight="1" x14ac:dyDescent="0.35">
      <c r="A327" s="42"/>
      <c r="B327" s="42"/>
      <c r="C327" s="42"/>
      <c r="D327" s="93"/>
      <c r="E327" s="93"/>
      <c r="F327" s="94"/>
      <c r="G327" s="95"/>
    </row>
    <row r="328" spans="1:7" ht="30" customHeight="1" x14ac:dyDescent="0.35">
      <c r="A328" s="42"/>
      <c r="B328" s="42"/>
      <c r="C328" s="42"/>
      <c r="D328" s="90"/>
      <c r="E328" s="90"/>
      <c r="F328" s="91"/>
      <c r="G328" s="92"/>
    </row>
    <row r="329" spans="1:7" ht="30" customHeight="1" x14ac:dyDescent="0.35">
      <c r="A329" s="42"/>
      <c r="B329" s="42"/>
      <c r="C329" s="42"/>
      <c r="D329" s="93"/>
      <c r="E329" s="93"/>
      <c r="F329" s="94"/>
      <c r="G329" s="95"/>
    </row>
    <row r="330" spans="1:7" ht="30" customHeight="1" x14ac:dyDescent="0.35">
      <c r="A330" s="42"/>
      <c r="B330" s="42"/>
      <c r="C330" s="42"/>
      <c r="D330" s="90"/>
      <c r="E330" s="90"/>
      <c r="F330" s="91"/>
      <c r="G330" s="92"/>
    </row>
    <row r="331" spans="1:7" ht="30" customHeight="1" x14ac:dyDescent="0.35">
      <c r="A331" s="42"/>
      <c r="B331" s="42"/>
      <c r="C331" s="42"/>
      <c r="D331" s="93"/>
      <c r="E331" s="93"/>
      <c r="F331" s="94"/>
      <c r="G331" s="95"/>
    </row>
    <row r="332" spans="1:7" ht="30" customHeight="1" x14ac:dyDescent="0.35">
      <c r="A332" s="42"/>
      <c r="B332" s="42"/>
      <c r="C332" s="42"/>
      <c r="D332" s="90"/>
      <c r="E332" s="90"/>
      <c r="F332" s="91"/>
      <c r="G332" s="92"/>
    </row>
    <row r="333" spans="1:7" ht="30" customHeight="1" x14ac:dyDescent="0.35">
      <c r="A333" s="42"/>
      <c r="B333" s="42"/>
      <c r="C333" s="42"/>
      <c r="D333" s="93"/>
      <c r="E333" s="93"/>
      <c r="F333" s="94"/>
      <c r="G333" s="95"/>
    </row>
    <row r="334" spans="1:7" ht="30" customHeight="1" x14ac:dyDescent="0.35">
      <c r="A334" s="42"/>
      <c r="B334" s="42"/>
      <c r="C334" s="42"/>
      <c r="D334" s="90"/>
      <c r="E334" s="90"/>
      <c r="F334" s="91"/>
      <c r="G334" s="92"/>
    </row>
    <row r="335" spans="1:7" ht="30" customHeight="1" x14ac:dyDescent="0.35">
      <c r="A335" s="42"/>
      <c r="B335" s="42"/>
      <c r="C335" s="42"/>
      <c r="D335" s="93"/>
      <c r="E335" s="93"/>
      <c r="F335" s="94"/>
      <c r="G335" s="95"/>
    </row>
    <row r="336" spans="1:7" ht="30" customHeight="1" x14ac:dyDescent="0.35">
      <c r="A336" s="42"/>
      <c r="B336" s="42"/>
      <c r="C336" s="42"/>
      <c r="D336" s="90"/>
      <c r="E336" s="90"/>
      <c r="F336" s="91"/>
      <c r="G336" s="92"/>
    </row>
    <row r="337" spans="1:7" ht="30" customHeight="1" x14ac:dyDescent="0.35">
      <c r="A337" s="42"/>
      <c r="B337" s="42"/>
      <c r="C337" s="42"/>
      <c r="D337" s="93"/>
      <c r="E337" s="93"/>
      <c r="F337" s="94"/>
      <c r="G337" s="95"/>
    </row>
    <row r="338" spans="1:7" ht="30" customHeight="1" x14ac:dyDescent="0.35">
      <c r="A338" s="42"/>
      <c r="B338" s="42"/>
      <c r="C338" s="42"/>
      <c r="D338" s="90"/>
      <c r="E338" s="90"/>
      <c r="F338" s="91"/>
      <c r="G338" s="92"/>
    </row>
    <row r="339" spans="1:7" ht="30" customHeight="1" x14ac:dyDescent="0.35">
      <c r="A339" s="42"/>
      <c r="B339" s="42"/>
      <c r="C339" s="42"/>
      <c r="D339" s="93"/>
      <c r="E339" s="93"/>
      <c r="F339" s="94"/>
      <c r="G339" s="95"/>
    </row>
    <row r="340" spans="1:7" ht="30" customHeight="1" x14ac:dyDescent="0.35">
      <c r="A340" s="42"/>
      <c r="B340" s="42"/>
      <c r="C340" s="42"/>
      <c r="D340" s="90"/>
      <c r="E340" s="90"/>
      <c r="F340" s="91"/>
      <c r="G340" s="92"/>
    </row>
    <row r="341" spans="1:7" ht="30" customHeight="1" x14ac:dyDescent="0.35">
      <c r="A341" s="42"/>
      <c r="B341" s="42"/>
      <c r="C341" s="42"/>
      <c r="D341" s="93"/>
      <c r="E341" s="93"/>
      <c r="F341" s="94"/>
      <c r="G341" s="95"/>
    </row>
    <row r="342" spans="1:7" ht="30" customHeight="1" x14ac:dyDescent="0.35">
      <c r="A342" s="42"/>
      <c r="B342" s="42"/>
      <c r="C342" s="42"/>
      <c r="D342" s="90"/>
      <c r="E342" s="90"/>
      <c r="F342" s="91"/>
      <c r="G342" s="92"/>
    </row>
    <row r="343" spans="1:7" ht="30" customHeight="1" x14ac:dyDescent="0.35">
      <c r="A343" s="42"/>
      <c r="B343" s="42"/>
      <c r="C343" s="42"/>
      <c r="D343" s="93"/>
      <c r="E343" s="93"/>
      <c r="F343" s="94"/>
      <c r="G343" s="95"/>
    </row>
    <row r="344" spans="1:7" ht="30" customHeight="1" x14ac:dyDescent="0.35">
      <c r="A344" s="42"/>
      <c r="B344" s="42"/>
      <c r="C344" s="42"/>
      <c r="D344" s="90"/>
      <c r="E344" s="90"/>
      <c r="F344" s="91"/>
      <c r="G344" s="92"/>
    </row>
    <row r="345" spans="1:7" ht="30" customHeight="1" x14ac:dyDescent="0.35">
      <c r="A345" s="42"/>
      <c r="B345" s="42"/>
      <c r="C345" s="42"/>
      <c r="D345" s="93"/>
      <c r="E345" s="93"/>
      <c r="F345" s="94"/>
      <c r="G345" s="95"/>
    </row>
    <row r="346" spans="1:7" ht="30" customHeight="1" x14ac:dyDescent="0.35">
      <c r="A346" s="42"/>
      <c r="B346" s="42"/>
      <c r="C346" s="42"/>
      <c r="D346" s="90"/>
      <c r="E346" s="90"/>
      <c r="F346" s="91"/>
      <c r="G346" s="92"/>
    </row>
    <row r="347" spans="1:7" ht="30" customHeight="1" x14ac:dyDescent="0.35">
      <c r="A347" s="42"/>
      <c r="B347" s="42"/>
      <c r="C347" s="42"/>
      <c r="D347" s="93"/>
      <c r="E347" s="93"/>
      <c r="F347" s="94"/>
      <c r="G347" s="95"/>
    </row>
    <row r="348" spans="1:7" ht="30" customHeight="1" x14ac:dyDescent="0.35">
      <c r="A348" s="42"/>
      <c r="B348" s="42"/>
      <c r="C348" s="42"/>
      <c r="D348" s="90"/>
      <c r="E348" s="90"/>
      <c r="F348" s="91"/>
      <c r="G348" s="92"/>
    </row>
    <row r="349" spans="1:7" ht="30" customHeight="1" x14ac:dyDescent="0.35">
      <c r="A349" s="42"/>
      <c r="B349" s="42"/>
      <c r="C349" s="42"/>
      <c r="D349" s="93"/>
      <c r="E349" s="93"/>
      <c r="F349" s="94"/>
      <c r="G349" s="95"/>
    </row>
    <row r="350" spans="1:7" ht="30" customHeight="1" x14ac:dyDescent="0.35">
      <c r="A350" s="42"/>
      <c r="B350" s="42"/>
      <c r="C350" s="42"/>
      <c r="D350" s="90"/>
      <c r="E350" s="90"/>
      <c r="F350" s="91"/>
      <c r="G350" s="92"/>
    </row>
    <row r="351" spans="1:7" ht="30" customHeight="1" x14ac:dyDescent="0.35">
      <c r="A351" s="42"/>
      <c r="B351" s="42"/>
      <c r="C351" s="42"/>
      <c r="D351" s="93"/>
      <c r="E351" s="93"/>
      <c r="F351" s="94"/>
      <c r="G351" s="95"/>
    </row>
    <row r="352" spans="1:7" ht="30" customHeight="1" x14ac:dyDescent="0.35">
      <c r="A352" s="42"/>
      <c r="B352" s="42"/>
      <c r="C352" s="42"/>
      <c r="D352" s="90"/>
      <c r="E352" s="90"/>
      <c r="F352" s="91"/>
      <c r="G352" s="92"/>
    </row>
    <row r="353" spans="1:7" ht="30" customHeight="1" x14ac:dyDescent="0.35">
      <c r="A353" s="42"/>
      <c r="B353" s="42"/>
      <c r="C353" s="42"/>
      <c r="D353" s="93"/>
      <c r="E353" s="93"/>
      <c r="F353" s="94"/>
      <c r="G353" s="95"/>
    </row>
    <row r="354" spans="1:7" ht="30" customHeight="1" x14ac:dyDescent="0.35">
      <c r="A354" s="42"/>
      <c r="B354" s="42"/>
      <c r="C354" s="42"/>
      <c r="D354" s="90"/>
      <c r="E354" s="90"/>
      <c r="F354" s="91"/>
      <c r="G354" s="92"/>
    </row>
    <row r="355" spans="1:7" ht="30" customHeight="1" x14ac:dyDescent="0.35">
      <c r="A355" s="42"/>
      <c r="B355" s="42"/>
      <c r="C355" s="42"/>
      <c r="D355" s="93"/>
      <c r="E355" s="93"/>
      <c r="F355" s="94"/>
      <c r="G355" s="95"/>
    </row>
    <row r="356" spans="1:7" ht="30" customHeight="1" x14ac:dyDescent="0.35">
      <c r="A356" s="42"/>
      <c r="B356" s="42"/>
      <c r="C356" s="42"/>
      <c r="D356" s="90"/>
      <c r="E356" s="90"/>
      <c r="F356" s="91"/>
      <c r="G356" s="92"/>
    </row>
    <row r="357" spans="1:7" ht="30" customHeight="1" x14ac:dyDescent="0.35">
      <c r="A357" s="42"/>
      <c r="B357" s="42"/>
      <c r="C357" s="42"/>
      <c r="D357" s="93"/>
      <c r="E357" s="93"/>
      <c r="F357" s="94"/>
      <c r="G357" s="95"/>
    </row>
    <row r="358" spans="1:7" ht="30" customHeight="1" x14ac:dyDescent="0.35">
      <c r="A358" s="42"/>
      <c r="B358" s="42"/>
      <c r="C358" s="42"/>
      <c r="D358" s="90"/>
      <c r="E358" s="90"/>
      <c r="F358" s="91"/>
      <c r="G358" s="92"/>
    </row>
    <row r="359" spans="1:7" ht="30" customHeight="1" x14ac:dyDescent="0.35">
      <c r="A359" s="42"/>
      <c r="B359" s="42"/>
      <c r="C359" s="42"/>
      <c r="D359" s="93"/>
      <c r="E359" s="93"/>
      <c r="F359" s="94"/>
      <c r="G359" s="95"/>
    </row>
    <row r="360" spans="1:7" ht="30" customHeight="1" x14ac:dyDescent="0.35">
      <c r="A360" s="42"/>
      <c r="B360" s="42"/>
      <c r="C360" s="42"/>
      <c r="D360" s="90"/>
      <c r="E360" s="90"/>
      <c r="F360" s="91"/>
      <c r="G360" s="92"/>
    </row>
    <row r="361" spans="1:7" ht="30" customHeight="1" x14ac:dyDescent="0.35">
      <c r="A361" s="42"/>
      <c r="B361" s="42"/>
      <c r="C361" s="42"/>
      <c r="D361" s="93"/>
      <c r="E361" s="93"/>
      <c r="F361" s="94"/>
      <c r="G361" s="95"/>
    </row>
    <row r="362" spans="1:7" ht="30" customHeight="1" x14ac:dyDescent="0.35">
      <c r="A362" s="42"/>
      <c r="B362" s="42"/>
      <c r="C362" s="42"/>
      <c r="D362" s="90"/>
      <c r="E362" s="90"/>
      <c r="F362" s="91"/>
      <c r="G362" s="92"/>
    </row>
    <row r="363" spans="1:7" ht="30" customHeight="1" x14ac:dyDescent="0.35">
      <c r="A363" s="42"/>
      <c r="B363" s="42"/>
      <c r="C363" s="42"/>
      <c r="D363" s="93"/>
      <c r="E363" s="93"/>
      <c r="F363" s="94"/>
      <c r="G363" s="95"/>
    </row>
    <row r="364" spans="1:7" ht="30" customHeight="1" x14ac:dyDescent="0.35">
      <c r="A364" s="42"/>
      <c r="B364" s="42"/>
      <c r="C364" s="42"/>
      <c r="D364" s="90"/>
      <c r="E364" s="90"/>
      <c r="F364" s="91"/>
      <c r="G364" s="92"/>
    </row>
    <row r="365" spans="1:7" ht="30" customHeight="1" x14ac:dyDescent="0.35">
      <c r="A365" s="42"/>
      <c r="B365" s="42"/>
      <c r="C365" s="42"/>
      <c r="D365" s="93"/>
      <c r="E365" s="93"/>
      <c r="F365" s="94"/>
      <c r="G365" s="95"/>
    </row>
    <row r="366" spans="1:7" ht="30" customHeight="1" x14ac:dyDescent="0.35">
      <c r="A366" s="42"/>
      <c r="B366" s="42"/>
      <c r="C366" s="42"/>
      <c r="D366" s="90"/>
      <c r="E366" s="90"/>
      <c r="F366" s="91"/>
      <c r="G366" s="92"/>
    </row>
    <row r="367" spans="1:7" ht="30" customHeight="1" x14ac:dyDescent="0.35">
      <c r="A367" s="42"/>
      <c r="B367" s="42"/>
      <c r="C367" s="42"/>
      <c r="D367" s="93"/>
      <c r="E367" s="93"/>
      <c r="F367" s="94"/>
      <c r="G367" s="95"/>
    </row>
    <row r="368" spans="1:7" ht="30" customHeight="1" x14ac:dyDescent="0.35">
      <c r="A368" s="42"/>
      <c r="B368" s="42"/>
      <c r="C368" s="42"/>
      <c r="D368" s="90"/>
      <c r="E368" s="90"/>
      <c r="F368" s="91"/>
      <c r="G368" s="92"/>
    </row>
    <row r="369" spans="1:7" ht="30" customHeight="1" x14ac:dyDescent="0.35">
      <c r="A369" s="42"/>
      <c r="B369" s="42"/>
      <c r="C369" s="42"/>
      <c r="D369" s="93"/>
      <c r="E369" s="93"/>
      <c r="F369" s="94"/>
      <c r="G369" s="95"/>
    </row>
    <row r="370" spans="1:7" ht="30" customHeight="1" x14ac:dyDescent="0.35">
      <c r="A370" s="42"/>
      <c r="B370" s="42"/>
      <c r="C370" s="42"/>
      <c r="D370" s="90"/>
      <c r="E370" s="90"/>
      <c r="F370" s="91"/>
      <c r="G370" s="92"/>
    </row>
    <row r="371" spans="1:7" ht="30" customHeight="1" x14ac:dyDescent="0.35">
      <c r="A371" s="42"/>
      <c r="B371" s="42"/>
      <c r="C371" s="42"/>
      <c r="D371" s="93"/>
      <c r="E371" s="93"/>
      <c r="F371" s="94"/>
      <c r="G371" s="95"/>
    </row>
    <row r="372" spans="1:7" ht="30" customHeight="1" x14ac:dyDescent="0.35">
      <c r="A372" s="42"/>
      <c r="B372" s="42"/>
      <c r="C372" s="42"/>
      <c r="D372" s="90"/>
      <c r="E372" s="90"/>
      <c r="F372" s="91"/>
      <c r="G372" s="92"/>
    </row>
    <row r="373" spans="1:7" ht="30" customHeight="1" x14ac:dyDescent="0.35">
      <c r="A373" s="42"/>
      <c r="B373" s="42"/>
      <c r="C373" s="42"/>
      <c r="D373" s="93"/>
      <c r="E373" s="93"/>
      <c r="F373" s="94"/>
      <c r="G373" s="95"/>
    </row>
    <row r="374" spans="1:7" ht="30" customHeight="1" x14ac:dyDescent="0.35">
      <c r="A374" s="42"/>
      <c r="B374" s="42"/>
      <c r="C374" s="42"/>
      <c r="D374" s="90"/>
      <c r="E374" s="90"/>
      <c r="F374" s="91"/>
      <c r="G374" s="92"/>
    </row>
    <row r="375" spans="1:7" ht="30" customHeight="1" x14ac:dyDescent="0.35">
      <c r="A375" s="42"/>
      <c r="B375" s="42"/>
      <c r="C375" s="42"/>
      <c r="D375" s="93"/>
      <c r="E375" s="93"/>
      <c r="F375" s="94"/>
      <c r="G375" s="95"/>
    </row>
    <row r="376" spans="1:7" ht="30" customHeight="1" x14ac:dyDescent="0.35">
      <c r="A376" s="42"/>
      <c r="B376" s="42"/>
      <c r="C376" s="42"/>
      <c r="D376" s="90"/>
      <c r="E376" s="90"/>
      <c r="F376" s="91"/>
      <c r="G376" s="92"/>
    </row>
    <row r="377" spans="1:7" ht="30" customHeight="1" x14ac:dyDescent="0.35">
      <c r="A377" s="42"/>
      <c r="B377" s="42"/>
      <c r="C377" s="42"/>
      <c r="D377" s="93"/>
      <c r="E377" s="93"/>
      <c r="F377" s="94"/>
      <c r="G377" s="95"/>
    </row>
    <row r="378" spans="1:7" ht="30" customHeight="1" x14ac:dyDescent="0.35">
      <c r="A378" s="42"/>
      <c r="B378" s="42"/>
      <c r="C378" s="42"/>
      <c r="D378" s="90"/>
      <c r="E378" s="90"/>
      <c r="F378" s="91"/>
      <c r="G378" s="92"/>
    </row>
    <row r="379" spans="1:7" ht="30" customHeight="1" x14ac:dyDescent="0.35">
      <c r="A379" s="42"/>
      <c r="B379" s="42"/>
      <c r="C379" s="42"/>
      <c r="D379" s="93"/>
      <c r="E379" s="93"/>
      <c r="F379" s="94"/>
      <c r="G379" s="95"/>
    </row>
    <row r="380" spans="1:7" ht="30" customHeight="1" x14ac:dyDescent="0.35">
      <c r="A380" s="42"/>
      <c r="B380" s="42"/>
      <c r="C380" s="42"/>
      <c r="D380" s="90"/>
      <c r="E380" s="90"/>
      <c r="F380" s="91"/>
      <c r="G380" s="92"/>
    </row>
    <row r="381" spans="1:7" ht="30" customHeight="1" x14ac:dyDescent="0.35">
      <c r="A381" s="42"/>
      <c r="B381" s="42"/>
      <c r="C381" s="42"/>
      <c r="D381" s="96"/>
      <c r="E381" s="90"/>
      <c r="F381" s="94"/>
      <c r="G381" s="95"/>
    </row>
    <row r="382" spans="1:7" ht="30" customHeight="1" x14ac:dyDescent="0.35">
      <c r="A382" s="42"/>
      <c r="B382" s="42"/>
      <c r="C382" s="42"/>
      <c r="D382" s="90"/>
      <c r="E382" s="90"/>
      <c r="F382" s="91"/>
      <c r="G382" s="92"/>
    </row>
    <row r="383" spans="1:7" ht="30" customHeight="1" x14ac:dyDescent="0.35">
      <c r="A383" s="42"/>
      <c r="B383" s="42"/>
      <c r="C383" s="42"/>
      <c r="D383" s="93"/>
      <c r="E383" s="93"/>
      <c r="F383" s="94"/>
      <c r="G383" s="95"/>
    </row>
    <row r="384" spans="1:7" ht="30" customHeight="1" x14ac:dyDescent="0.35">
      <c r="A384" s="42"/>
      <c r="B384" s="42"/>
      <c r="C384" s="42"/>
      <c r="D384" s="90"/>
      <c r="E384" s="90"/>
      <c r="F384" s="91"/>
      <c r="G384" s="92"/>
    </row>
    <row r="385" spans="1:7" ht="30" customHeight="1" x14ac:dyDescent="0.35">
      <c r="A385" s="42"/>
      <c r="B385" s="42"/>
      <c r="C385" s="42"/>
      <c r="D385" s="93"/>
      <c r="E385" s="93"/>
      <c r="F385" s="94"/>
      <c r="G385" s="95"/>
    </row>
    <row r="386" spans="1:7" ht="30" customHeight="1" x14ac:dyDescent="0.35">
      <c r="A386" s="42"/>
      <c r="B386" s="42"/>
      <c r="C386" s="42"/>
      <c r="D386" s="90"/>
      <c r="E386" s="90"/>
      <c r="F386" s="91"/>
      <c r="G386" s="92"/>
    </row>
    <row r="387" spans="1:7" ht="30" customHeight="1" x14ac:dyDescent="0.35">
      <c r="A387" s="42"/>
      <c r="B387" s="42"/>
      <c r="C387" s="42"/>
      <c r="F387" s="97"/>
      <c r="G387" s="95"/>
    </row>
    <row r="388" spans="1:7" ht="30" customHeight="1" x14ac:dyDescent="0.35">
      <c r="A388" s="42"/>
      <c r="B388" s="42"/>
      <c r="C388" s="42"/>
      <c r="F388" s="98"/>
      <c r="G388" s="92"/>
    </row>
    <row r="389" spans="1:7" ht="30" customHeight="1" x14ac:dyDescent="0.35">
      <c r="A389" s="42"/>
      <c r="B389" s="42"/>
      <c r="C389" s="42"/>
      <c r="F389" s="97"/>
      <c r="G389" s="95"/>
    </row>
    <row r="390" spans="1:7" ht="30" customHeight="1" x14ac:dyDescent="0.35">
      <c r="A390" s="42"/>
      <c r="B390" s="42"/>
      <c r="C390" s="42"/>
      <c r="D390" s="42"/>
      <c r="E390" s="42"/>
      <c r="F390" s="98"/>
      <c r="G390" s="92"/>
    </row>
    <row r="391" spans="1:7" ht="30" customHeight="1" x14ac:dyDescent="0.35">
      <c r="A391" s="42"/>
      <c r="B391" s="42"/>
      <c r="C391" s="42"/>
      <c r="D391" s="42"/>
      <c r="E391" s="42"/>
      <c r="F391" s="97"/>
      <c r="G391" s="95"/>
    </row>
    <row r="392" spans="1:7" ht="30" customHeight="1" x14ac:dyDescent="0.35">
      <c r="A392" s="42"/>
      <c r="B392" s="42"/>
      <c r="C392" s="42"/>
      <c r="D392" s="42"/>
      <c r="E392" s="42"/>
      <c r="F392" s="98"/>
      <c r="G392" s="92"/>
    </row>
    <row r="393" spans="1:7" ht="30" customHeight="1" x14ac:dyDescent="0.35">
      <c r="A393" s="42"/>
      <c r="B393" s="42"/>
      <c r="C393" s="42"/>
      <c r="D393" s="42"/>
      <c r="E393" s="42"/>
      <c r="F393" s="97"/>
      <c r="G393" s="95"/>
    </row>
    <row r="394" spans="1:7" ht="30" customHeight="1" x14ac:dyDescent="0.35">
      <c r="A394" s="42"/>
      <c r="B394" s="42"/>
      <c r="C394" s="42"/>
      <c r="D394" s="42"/>
      <c r="E394" s="42"/>
      <c r="F394" s="98"/>
      <c r="G394" s="92"/>
    </row>
    <row r="395" spans="1:7" ht="30" customHeight="1" x14ac:dyDescent="0.35">
      <c r="A395" s="42"/>
      <c r="B395" s="42"/>
      <c r="C395" s="42"/>
      <c r="D395" s="42"/>
      <c r="E395" s="42"/>
      <c r="F395" s="97"/>
      <c r="G395" s="95"/>
    </row>
    <row r="396" spans="1:7" ht="30" customHeight="1" x14ac:dyDescent="0.35">
      <c r="A396" s="42"/>
      <c r="B396" s="42"/>
      <c r="C396" s="42"/>
      <c r="D396" s="42"/>
      <c r="E396" s="42"/>
      <c r="F396" s="98"/>
      <c r="G396" s="92"/>
    </row>
    <row r="397" spans="1:7" ht="30" customHeight="1" x14ac:dyDescent="0.35">
      <c r="A397" s="42"/>
      <c r="B397" s="42"/>
      <c r="C397" s="42"/>
      <c r="D397" s="42"/>
      <c r="E397" s="42"/>
      <c r="F397" s="97"/>
      <c r="G397" s="95"/>
    </row>
    <row r="398" spans="1:7" ht="30" customHeight="1" x14ac:dyDescent="0.35">
      <c r="A398" s="42"/>
      <c r="B398" s="42"/>
      <c r="C398" s="42"/>
      <c r="D398" s="42"/>
      <c r="E398" s="42"/>
      <c r="F398" s="98"/>
      <c r="G398" s="92"/>
    </row>
    <row r="399" spans="1:7" ht="30" customHeight="1" x14ac:dyDescent="0.35">
      <c r="A399" s="42"/>
      <c r="B399" s="42"/>
      <c r="C399" s="42"/>
      <c r="D399" s="42"/>
      <c r="E399" s="42"/>
      <c r="F399" s="97"/>
      <c r="G399" s="95"/>
    </row>
    <row r="400" spans="1:7" ht="30" customHeight="1" x14ac:dyDescent="0.35">
      <c r="A400" s="42"/>
      <c r="B400" s="42"/>
      <c r="C400" s="42"/>
      <c r="D400" s="42"/>
      <c r="E400" s="42"/>
      <c r="F400" s="98"/>
      <c r="G400" s="92"/>
    </row>
    <row r="401" spans="1:7" ht="30" customHeight="1" x14ac:dyDescent="0.35">
      <c r="A401" s="42"/>
      <c r="B401" s="42"/>
      <c r="C401" s="42"/>
      <c r="D401" s="42"/>
      <c r="E401" s="42"/>
      <c r="F401" s="97"/>
      <c r="G401" s="95"/>
    </row>
    <row r="402" spans="1:7" ht="30" customHeight="1" x14ac:dyDescent="0.35">
      <c r="A402" s="42"/>
      <c r="B402" s="42"/>
      <c r="C402" s="42"/>
      <c r="D402" s="42"/>
      <c r="E402" s="42"/>
      <c r="F402" s="98"/>
      <c r="G402" s="92"/>
    </row>
    <row r="403" spans="1:7" ht="30" customHeight="1" x14ac:dyDescent="0.35">
      <c r="A403" s="42"/>
      <c r="B403" s="42"/>
      <c r="C403" s="42"/>
      <c r="D403" s="42"/>
      <c r="E403" s="42"/>
      <c r="F403" s="97"/>
      <c r="G403" s="95"/>
    </row>
    <row r="404" spans="1:7" ht="30" customHeight="1" x14ac:dyDescent="0.35">
      <c r="A404" s="42"/>
      <c r="B404" s="42"/>
      <c r="C404" s="42"/>
      <c r="D404" s="42"/>
      <c r="E404" s="42"/>
      <c r="F404" s="98"/>
      <c r="G404" s="92"/>
    </row>
    <row r="405" spans="1:7" ht="30" customHeight="1" x14ac:dyDescent="0.35">
      <c r="A405" s="42"/>
      <c r="B405" s="42"/>
      <c r="C405" s="42"/>
      <c r="D405" s="42"/>
      <c r="E405" s="42"/>
      <c r="F405" s="97"/>
      <c r="G405" s="95"/>
    </row>
    <row r="406" spans="1:7" ht="30" customHeight="1" x14ac:dyDescent="0.35">
      <c r="A406" s="42"/>
      <c r="B406" s="42"/>
      <c r="C406" s="42"/>
      <c r="D406" s="42"/>
      <c r="E406" s="42"/>
      <c r="F406" s="98"/>
      <c r="G406" s="92"/>
    </row>
    <row r="407" spans="1:7" ht="30" customHeight="1" x14ac:dyDescent="0.35">
      <c r="A407" s="42"/>
      <c r="B407" s="42"/>
      <c r="C407" s="42"/>
      <c r="D407" s="42"/>
      <c r="E407" s="42"/>
      <c r="F407" s="97"/>
      <c r="G407" s="95"/>
    </row>
    <row r="408" spans="1:7" ht="30" customHeight="1" x14ac:dyDescent="0.35">
      <c r="A408" s="42"/>
      <c r="B408" s="42"/>
      <c r="C408" s="42"/>
      <c r="D408" s="42"/>
      <c r="E408" s="42"/>
      <c r="F408" s="98"/>
      <c r="G408" s="92"/>
    </row>
    <row r="409" spans="1:7" ht="30" customHeight="1" x14ac:dyDescent="0.35">
      <c r="A409" s="42"/>
      <c r="B409" s="42"/>
      <c r="C409" s="42"/>
      <c r="D409" s="42"/>
      <c r="E409" s="42"/>
      <c r="F409" s="97"/>
      <c r="G409" s="95"/>
    </row>
    <row r="410" spans="1:7" ht="30" customHeight="1" x14ac:dyDescent="0.35">
      <c r="A410" s="42"/>
      <c r="B410" s="42"/>
      <c r="C410" s="42"/>
      <c r="D410" s="42"/>
      <c r="E410" s="42"/>
      <c r="F410" s="98"/>
      <c r="G410" s="92"/>
    </row>
    <row r="411" spans="1:7" ht="30" customHeight="1" x14ac:dyDescent="0.35">
      <c r="A411" s="42"/>
      <c r="B411" s="42"/>
      <c r="C411" s="42"/>
      <c r="D411" s="42"/>
      <c r="E411" s="42"/>
      <c r="F411" s="97"/>
      <c r="G411" s="95"/>
    </row>
    <row r="412" spans="1:7" ht="30" customHeight="1" x14ac:dyDescent="0.35">
      <c r="A412" s="42"/>
      <c r="B412" s="42"/>
      <c r="C412" s="42"/>
      <c r="D412" s="42"/>
      <c r="E412" s="42"/>
      <c r="F412" s="98"/>
      <c r="G412" s="92"/>
    </row>
    <row r="413" spans="1:7" ht="30" customHeight="1" x14ac:dyDescent="0.35">
      <c r="A413" s="42"/>
      <c r="B413" s="42"/>
      <c r="C413" s="42"/>
      <c r="D413" s="42"/>
      <c r="E413" s="42"/>
      <c r="F413" s="97"/>
      <c r="G413" s="95"/>
    </row>
    <row r="414" spans="1:7" ht="30" customHeight="1" x14ac:dyDescent="0.35">
      <c r="A414" s="42"/>
      <c r="B414" s="42"/>
      <c r="C414" s="42"/>
      <c r="D414" s="42"/>
      <c r="E414" s="42"/>
      <c r="F414" s="98"/>
      <c r="G414" s="92"/>
    </row>
    <row r="415" spans="1:7" ht="30" customHeight="1" x14ac:dyDescent="0.35">
      <c r="A415" s="42"/>
      <c r="B415" s="42"/>
      <c r="C415" s="42"/>
      <c r="D415" s="42"/>
      <c r="E415" s="42"/>
      <c r="F415" s="97"/>
      <c r="G415" s="95"/>
    </row>
    <row r="416" spans="1:7" ht="30" customHeight="1" x14ac:dyDescent="0.35">
      <c r="A416" s="42"/>
      <c r="B416" s="42"/>
      <c r="C416" s="42"/>
      <c r="D416" s="42"/>
      <c r="E416" s="42"/>
      <c r="F416" s="98"/>
      <c r="G416" s="92"/>
    </row>
    <row r="417" spans="1:7" ht="30" customHeight="1" x14ac:dyDescent="0.35">
      <c r="A417" s="42"/>
      <c r="B417" s="42"/>
      <c r="C417" s="42"/>
      <c r="D417" s="42"/>
      <c r="E417" s="42"/>
      <c r="F417" s="97"/>
      <c r="G417" s="95"/>
    </row>
    <row r="418" spans="1:7" ht="30" customHeight="1" x14ac:dyDescent="0.35">
      <c r="A418" s="42"/>
      <c r="B418" s="42"/>
      <c r="C418" s="42"/>
      <c r="D418" s="42"/>
      <c r="E418" s="42"/>
      <c r="F418" s="98"/>
      <c r="G418" s="92"/>
    </row>
    <row r="419" spans="1:7" ht="30" customHeight="1" x14ac:dyDescent="0.35">
      <c r="A419" s="42"/>
      <c r="B419" s="42"/>
      <c r="C419" s="42"/>
      <c r="D419" s="42"/>
      <c r="E419" s="42"/>
      <c r="F419" s="97"/>
      <c r="G419" s="95"/>
    </row>
    <row r="420" spans="1:7" ht="30" customHeight="1" x14ac:dyDescent="0.35">
      <c r="A420" s="42"/>
      <c r="B420" s="42"/>
      <c r="C420" s="42"/>
      <c r="D420" s="42"/>
      <c r="E420" s="42"/>
      <c r="F420" s="98"/>
      <c r="G420" s="92"/>
    </row>
    <row r="421" spans="1:7" ht="30" customHeight="1" x14ac:dyDescent="0.35">
      <c r="A421" s="42"/>
      <c r="B421" s="42"/>
      <c r="C421" s="42"/>
      <c r="D421" s="42"/>
      <c r="E421" s="42"/>
      <c r="F421" s="97"/>
      <c r="G421" s="95"/>
    </row>
    <row r="422" spans="1:7" ht="30" customHeight="1" x14ac:dyDescent="0.35">
      <c r="A422" s="42"/>
      <c r="B422" s="42"/>
      <c r="C422" s="42"/>
      <c r="D422" s="42"/>
      <c r="E422" s="42"/>
      <c r="F422" s="98"/>
      <c r="G422" s="92"/>
    </row>
    <row r="423" spans="1:7" ht="30" customHeight="1" x14ac:dyDescent="0.35">
      <c r="A423" s="42"/>
      <c r="B423" s="42"/>
      <c r="C423" s="42"/>
      <c r="D423" s="42"/>
      <c r="E423" s="42"/>
      <c r="F423" s="97"/>
      <c r="G423" s="95"/>
    </row>
    <row r="424" spans="1:7" ht="30" customHeight="1" x14ac:dyDescent="0.35">
      <c r="A424" s="42"/>
      <c r="B424" s="42"/>
      <c r="C424" s="42"/>
      <c r="D424" s="42"/>
      <c r="E424" s="42"/>
      <c r="F424" s="98"/>
      <c r="G424" s="92"/>
    </row>
    <row r="425" spans="1:7" ht="30" customHeight="1" x14ac:dyDescent="0.35">
      <c r="A425" s="42"/>
      <c r="B425" s="42"/>
      <c r="C425" s="42"/>
      <c r="D425" s="42"/>
      <c r="E425" s="42"/>
      <c r="F425" s="97"/>
      <c r="G425" s="95"/>
    </row>
    <row r="426" spans="1:7" ht="30" customHeight="1" x14ac:dyDescent="0.35">
      <c r="A426" s="42"/>
      <c r="B426" s="42"/>
      <c r="C426" s="42"/>
      <c r="D426" s="42"/>
      <c r="E426" s="42"/>
      <c r="F426" s="98"/>
      <c r="G426" s="92"/>
    </row>
    <row r="427" spans="1:7" ht="30" customHeight="1" x14ac:dyDescent="0.35">
      <c r="A427" s="42"/>
      <c r="B427" s="42"/>
      <c r="C427" s="42"/>
      <c r="D427" s="42"/>
      <c r="E427" s="42"/>
      <c r="F427" s="97"/>
      <c r="G427" s="95"/>
    </row>
    <row r="428" spans="1:7" ht="30" customHeight="1" x14ac:dyDescent="0.35">
      <c r="A428" s="42"/>
      <c r="B428" s="42"/>
      <c r="C428" s="42"/>
      <c r="D428" s="42"/>
      <c r="E428" s="42"/>
      <c r="F428" s="98"/>
      <c r="G428" s="92"/>
    </row>
    <row r="429" spans="1:7" ht="30" customHeight="1" x14ac:dyDescent="0.35">
      <c r="A429" s="42"/>
      <c r="B429" s="42"/>
      <c r="C429" s="42"/>
      <c r="D429" s="42"/>
      <c r="E429" s="42"/>
      <c r="F429" s="97"/>
      <c r="G429" s="95"/>
    </row>
    <row r="430" spans="1:7" ht="30" customHeight="1" x14ac:dyDescent="0.35">
      <c r="A430" s="42"/>
      <c r="B430" s="42"/>
      <c r="C430" s="42"/>
      <c r="D430" s="42"/>
      <c r="E430" s="42"/>
      <c r="F430" s="98"/>
      <c r="G430" s="92"/>
    </row>
    <row r="431" spans="1:7" ht="30" customHeight="1" x14ac:dyDescent="0.35">
      <c r="A431" s="42"/>
      <c r="B431" s="42"/>
      <c r="C431" s="42"/>
      <c r="D431" s="42"/>
      <c r="E431" s="42"/>
      <c r="F431" s="97"/>
      <c r="G431" s="95"/>
    </row>
    <row r="432" spans="1:7" ht="30" customHeight="1" x14ac:dyDescent="0.35">
      <c r="A432" s="42"/>
      <c r="B432" s="42"/>
      <c r="C432" s="42"/>
      <c r="D432" s="42"/>
      <c r="E432" s="42"/>
      <c r="F432" s="98"/>
      <c r="G432" s="92"/>
    </row>
    <row r="433" spans="1:7" ht="30" customHeight="1" x14ac:dyDescent="0.35">
      <c r="A433" s="42"/>
      <c r="B433" s="42"/>
      <c r="C433" s="42"/>
      <c r="D433" s="42"/>
      <c r="E433" s="42"/>
      <c r="F433" s="97"/>
      <c r="G433" s="95"/>
    </row>
    <row r="434" spans="1:7" ht="30" customHeight="1" x14ac:dyDescent="0.35">
      <c r="A434" s="42"/>
      <c r="B434" s="42"/>
      <c r="C434" s="42"/>
      <c r="D434" s="42"/>
      <c r="E434" s="42"/>
      <c r="F434" s="98"/>
      <c r="G434" s="92"/>
    </row>
    <row r="435" spans="1:7" ht="30" customHeight="1" x14ac:dyDescent="0.35">
      <c r="A435" s="42"/>
      <c r="B435" s="42"/>
      <c r="C435" s="42"/>
      <c r="D435" s="42"/>
      <c r="E435" s="42"/>
      <c r="F435" s="97"/>
      <c r="G435" s="95"/>
    </row>
    <row r="436" spans="1:7" ht="30" customHeight="1" x14ac:dyDescent="0.35">
      <c r="A436" s="42"/>
      <c r="B436" s="42"/>
      <c r="C436" s="42"/>
      <c r="D436" s="42"/>
      <c r="E436" s="42"/>
      <c r="F436" s="98"/>
      <c r="G436" s="92"/>
    </row>
    <row r="437" spans="1:7" ht="30" customHeight="1" x14ac:dyDescent="0.35">
      <c r="A437" s="42"/>
      <c r="B437" s="42"/>
      <c r="C437" s="42"/>
      <c r="D437" s="42"/>
      <c r="E437" s="42"/>
      <c r="F437" s="97"/>
      <c r="G437" s="95"/>
    </row>
    <row r="438" spans="1:7" ht="30" customHeight="1" x14ac:dyDescent="0.35">
      <c r="A438" s="42"/>
      <c r="B438" s="42"/>
      <c r="C438" s="42"/>
      <c r="D438" s="42"/>
      <c r="E438" s="42"/>
      <c r="F438" s="98"/>
      <c r="G438" s="92"/>
    </row>
    <row r="439" spans="1:7" ht="30" customHeight="1" x14ac:dyDescent="0.35">
      <c r="A439" s="42"/>
      <c r="B439" s="42"/>
      <c r="C439" s="42"/>
      <c r="D439" s="42"/>
      <c r="E439" s="42"/>
      <c r="F439" s="97"/>
      <c r="G439" s="95"/>
    </row>
    <row r="440" spans="1:7" ht="30" customHeight="1" x14ac:dyDescent="0.35">
      <c r="A440" s="42"/>
      <c r="B440" s="42"/>
      <c r="C440" s="42"/>
      <c r="D440" s="42"/>
      <c r="E440" s="42"/>
      <c r="F440" s="98"/>
      <c r="G440" s="92"/>
    </row>
    <row r="441" spans="1:7" ht="30" customHeight="1" x14ac:dyDescent="0.35">
      <c r="A441" s="42"/>
      <c r="B441" s="42"/>
      <c r="C441" s="42"/>
      <c r="D441" s="42"/>
      <c r="E441" s="42"/>
      <c r="F441" s="97"/>
      <c r="G441" s="95"/>
    </row>
    <row r="442" spans="1:7" ht="30" customHeight="1" x14ac:dyDescent="0.35">
      <c r="A442" s="42"/>
      <c r="B442" s="42"/>
      <c r="C442" s="42"/>
      <c r="D442" s="42"/>
      <c r="E442" s="42"/>
      <c r="F442" s="98"/>
      <c r="G442" s="92"/>
    </row>
    <row r="443" spans="1:7" ht="30" customHeight="1" x14ac:dyDescent="0.35">
      <c r="A443" s="42"/>
      <c r="B443" s="42"/>
      <c r="C443" s="42"/>
      <c r="D443" s="42"/>
      <c r="E443" s="42"/>
      <c r="F443" s="97"/>
      <c r="G443" s="95"/>
    </row>
    <row r="444" spans="1:7" ht="30" customHeight="1" x14ac:dyDescent="0.35">
      <c r="A444" s="42"/>
      <c r="B444" s="42"/>
      <c r="C444" s="42"/>
      <c r="D444" s="42"/>
      <c r="E444" s="42"/>
      <c r="F444" s="98"/>
      <c r="G444" s="92"/>
    </row>
    <row r="445" spans="1:7" ht="30" customHeight="1" x14ac:dyDescent="0.35">
      <c r="A445" s="42"/>
      <c r="B445" s="42"/>
      <c r="C445" s="42"/>
      <c r="D445" s="42"/>
      <c r="E445" s="42"/>
      <c r="F445" s="97"/>
      <c r="G445" s="95"/>
    </row>
    <row r="446" spans="1:7" ht="30" customHeight="1" x14ac:dyDescent="0.35">
      <c r="A446" s="42"/>
      <c r="B446" s="42"/>
      <c r="C446" s="42"/>
      <c r="D446" s="42"/>
      <c r="E446" s="42"/>
      <c r="F446" s="98"/>
      <c r="G446" s="92"/>
    </row>
    <row r="447" spans="1:7" ht="30" customHeight="1" x14ac:dyDescent="0.35">
      <c r="A447" s="42"/>
      <c r="B447" s="42"/>
      <c r="C447" s="42"/>
      <c r="D447" s="42"/>
      <c r="E447" s="42"/>
      <c r="F447" s="97"/>
      <c r="G447" s="95"/>
    </row>
    <row r="448" spans="1:7" ht="30" customHeight="1" x14ac:dyDescent="0.35">
      <c r="A448" s="42"/>
      <c r="B448" s="42"/>
      <c r="C448" s="42"/>
      <c r="D448" s="42"/>
      <c r="E448" s="42"/>
      <c r="F448" s="98"/>
      <c r="G448" s="92"/>
    </row>
    <row r="449" spans="1:7" ht="30" customHeight="1" x14ac:dyDescent="0.35">
      <c r="A449" s="42"/>
      <c r="B449" s="42"/>
      <c r="C449" s="42"/>
      <c r="D449" s="42"/>
      <c r="E449" s="42"/>
      <c r="F449" s="97"/>
      <c r="G449" s="95"/>
    </row>
    <row r="450" spans="1:7" ht="30" customHeight="1" x14ac:dyDescent="0.35">
      <c r="A450" s="42"/>
      <c r="B450" s="42"/>
      <c r="C450" s="42"/>
      <c r="D450" s="42"/>
      <c r="E450" s="42"/>
      <c r="F450" s="98"/>
      <c r="G450" s="92"/>
    </row>
    <row r="451" spans="1:7" ht="30" customHeight="1" x14ac:dyDescent="0.35">
      <c r="A451" s="42"/>
      <c r="B451" s="42"/>
      <c r="C451" s="42"/>
      <c r="D451" s="42"/>
      <c r="E451" s="42"/>
      <c r="F451" s="97"/>
      <c r="G451" s="95"/>
    </row>
    <row r="452" spans="1:7" ht="30" customHeight="1" x14ac:dyDescent="0.35">
      <c r="A452" s="42"/>
      <c r="B452" s="42"/>
      <c r="C452" s="42"/>
      <c r="D452" s="42"/>
      <c r="E452" s="42"/>
      <c r="F452" s="98"/>
      <c r="G452" s="92"/>
    </row>
    <row r="453" spans="1:7" ht="30" customHeight="1" x14ac:dyDescent="0.35">
      <c r="A453" s="42"/>
      <c r="B453" s="42"/>
      <c r="C453" s="42"/>
      <c r="D453" s="42"/>
      <c r="E453" s="42"/>
      <c r="F453" s="97"/>
      <c r="G453" s="95"/>
    </row>
    <row r="454" spans="1:7" ht="30" customHeight="1" x14ac:dyDescent="0.35">
      <c r="A454" s="42"/>
      <c r="B454" s="42"/>
      <c r="C454" s="42"/>
      <c r="D454" s="42"/>
      <c r="E454" s="42"/>
      <c r="F454" s="98"/>
      <c r="G454" s="92"/>
    </row>
    <row r="455" spans="1:7" ht="30" customHeight="1" x14ac:dyDescent="0.35">
      <c r="A455" s="42"/>
      <c r="B455" s="42"/>
      <c r="C455" s="42"/>
      <c r="D455" s="42"/>
      <c r="E455" s="42"/>
      <c r="F455" s="97"/>
      <c r="G455" s="95"/>
    </row>
    <row r="456" spans="1:7" ht="30" customHeight="1" x14ac:dyDescent="0.35">
      <c r="A456" s="42"/>
      <c r="B456" s="42"/>
      <c r="C456" s="42"/>
      <c r="D456" s="42"/>
      <c r="E456" s="42"/>
      <c r="F456" s="98"/>
      <c r="G456" s="92"/>
    </row>
    <row r="457" spans="1:7" ht="30" customHeight="1" x14ac:dyDescent="0.35">
      <c r="A457" s="42"/>
      <c r="B457" s="42"/>
      <c r="C457" s="42"/>
      <c r="D457" s="42"/>
      <c r="E457" s="42"/>
      <c r="F457" s="97"/>
      <c r="G457" s="95"/>
    </row>
    <row r="458" spans="1:7" ht="30" customHeight="1" x14ac:dyDescent="0.35">
      <c r="A458" s="42"/>
      <c r="B458" s="42"/>
      <c r="C458" s="42"/>
      <c r="D458" s="42"/>
      <c r="E458" s="42"/>
      <c r="F458" s="98"/>
      <c r="G458" s="92"/>
    </row>
    <row r="459" spans="1:7" ht="30" customHeight="1" x14ac:dyDescent="0.35">
      <c r="A459" s="42"/>
      <c r="B459" s="42"/>
      <c r="C459" s="42"/>
      <c r="D459" s="42"/>
      <c r="E459" s="42"/>
      <c r="F459" s="97"/>
      <c r="G459" s="95"/>
    </row>
    <row r="460" spans="1:7" ht="30" customHeight="1" x14ac:dyDescent="0.35">
      <c r="A460" s="42"/>
      <c r="B460" s="42"/>
      <c r="C460" s="42"/>
      <c r="D460" s="42"/>
      <c r="E460" s="42"/>
      <c r="F460" s="98"/>
      <c r="G460" s="92"/>
    </row>
    <row r="461" spans="1:7" ht="30" customHeight="1" x14ac:dyDescent="0.35">
      <c r="A461" s="42"/>
      <c r="B461" s="42"/>
      <c r="C461" s="42"/>
      <c r="D461" s="42"/>
      <c r="E461" s="42"/>
      <c r="F461" s="97"/>
      <c r="G461" s="95"/>
    </row>
    <row r="462" spans="1:7" ht="30" customHeight="1" x14ac:dyDescent="0.35">
      <c r="A462" s="42"/>
      <c r="B462" s="42"/>
      <c r="C462" s="42"/>
      <c r="D462" s="42"/>
      <c r="E462" s="42"/>
      <c r="F462" s="98"/>
      <c r="G462" s="92"/>
    </row>
    <row r="463" spans="1:7" ht="30" customHeight="1" x14ac:dyDescent="0.35">
      <c r="A463" s="42"/>
      <c r="B463" s="42"/>
      <c r="C463" s="42"/>
      <c r="D463" s="42"/>
      <c r="E463" s="42"/>
      <c r="F463" s="97"/>
      <c r="G463" s="95"/>
    </row>
    <row r="464" spans="1:7" ht="30" customHeight="1" x14ac:dyDescent="0.35">
      <c r="A464" s="42"/>
      <c r="B464" s="42"/>
      <c r="C464" s="42"/>
      <c r="D464" s="42"/>
      <c r="E464" s="42"/>
      <c r="F464" s="98"/>
      <c r="G464" s="92"/>
    </row>
    <row r="465" spans="1:7" ht="30" customHeight="1" x14ac:dyDescent="0.35">
      <c r="A465" s="42"/>
      <c r="B465" s="42"/>
      <c r="C465" s="42"/>
      <c r="D465" s="42"/>
      <c r="E465" s="42"/>
      <c r="F465" s="97"/>
      <c r="G465" s="95"/>
    </row>
    <row r="466" spans="1:7" ht="30" customHeight="1" x14ac:dyDescent="0.35">
      <c r="A466" s="42"/>
      <c r="B466" s="42"/>
      <c r="C466" s="42"/>
      <c r="D466" s="42"/>
      <c r="E466" s="42"/>
      <c r="F466" s="98"/>
      <c r="G466" s="92"/>
    </row>
    <row r="467" spans="1:7" ht="30" customHeight="1" x14ac:dyDescent="0.35">
      <c r="A467" s="42"/>
      <c r="B467" s="42"/>
      <c r="C467" s="42"/>
      <c r="D467" s="42"/>
      <c r="E467" s="42"/>
      <c r="F467" s="97"/>
      <c r="G467" s="95"/>
    </row>
    <row r="468" spans="1:7" ht="30" customHeight="1" x14ac:dyDescent="0.35">
      <c r="A468" s="42"/>
      <c r="B468" s="42"/>
      <c r="C468" s="42"/>
      <c r="D468" s="42"/>
      <c r="E468" s="42"/>
      <c r="F468" s="98"/>
      <c r="G468" s="92"/>
    </row>
    <row r="469" spans="1:7" ht="30" customHeight="1" x14ac:dyDescent="0.35">
      <c r="A469" s="42"/>
      <c r="B469" s="42"/>
      <c r="C469" s="42"/>
      <c r="D469" s="42"/>
      <c r="E469" s="42"/>
      <c r="F469" s="97"/>
      <c r="G469" s="95"/>
    </row>
    <row r="470" spans="1:7" ht="30" customHeight="1" x14ac:dyDescent="0.35">
      <c r="A470" s="42"/>
      <c r="B470" s="42"/>
      <c r="C470" s="42"/>
      <c r="D470" s="42"/>
      <c r="E470" s="42"/>
      <c r="F470" s="98"/>
      <c r="G470" s="92"/>
    </row>
    <row r="471" spans="1:7" ht="30" customHeight="1" x14ac:dyDescent="0.35">
      <c r="A471" s="42"/>
      <c r="B471" s="42"/>
      <c r="C471" s="42"/>
      <c r="D471" s="42"/>
      <c r="E471" s="42"/>
      <c r="F471" s="97"/>
      <c r="G471" s="95"/>
    </row>
    <row r="472" spans="1:7" ht="30" customHeight="1" x14ac:dyDescent="0.35">
      <c r="A472" s="42"/>
      <c r="B472" s="42"/>
      <c r="C472" s="42"/>
      <c r="D472" s="42"/>
      <c r="E472" s="42"/>
      <c r="F472" s="98"/>
      <c r="G472" s="92"/>
    </row>
    <row r="473" spans="1:7" ht="30" customHeight="1" x14ac:dyDescent="0.35">
      <c r="A473" s="42"/>
      <c r="B473" s="42"/>
      <c r="C473" s="42"/>
      <c r="D473" s="42"/>
      <c r="E473" s="42"/>
      <c r="F473" s="97"/>
      <c r="G473" s="95"/>
    </row>
    <row r="474" spans="1:7" ht="30" customHeight="1" x14ac:dyDescent="0.35">
      <c r="A474" s="42"/>
      <c r="B474" s="42"/>
      <c r="C474" s="42"/>
      <c r="D474" s="42"/>
      <c r="E474" s="42"/>
      <c r="F474" s="98"/>
      <c r="G474" s="92"/>
    </row>
    <row r="475" spans="1:7" ht="30" customHeight="1" x14ac:dyDescent="0.35">
      <c r="A475" s="42"/>
      <c r="B475" s="42"/>
      <c r="C475" s="42"/>
      <c r="D475" s="42"/>
      <c r="E475" s="42"/>
      <c r="F475" s="97"/>
      <c r="G475" s="95"/>
    </row>
    <row r="476" spans="1:7" ht="30" customHeight="1" x14ac:dyDescent="0.35">
      <c r="A476" s="42"/>
      <c r="B476" s="42"/>
      <c r="C476" s="42"/>
      <c r="D476" s="42"/>
      <c r="E476" s="42"/>
      <c r="F476" s="98"/>
      <c r="G476" s="92"/>
    </row>
    <row r="477" spans="1:7" ht="30" customHeight="1" x14ac:dyDescent="0.35">
      <c r="A477" s="42"/>
      <c r="B477" s="42"/>
      <c r="C477" s="42"/>
      <c r="D477" s="42"/>
      <c r="E477" s="42"/>
      <c r="F477" s="97"/>
      <c r="G477" s="95"/>
    </row>
    <row r="478" spans="1:7" ht="30" customHeight="1" x14ac:dyDescent="0.35">
      <c r="A478" s="42"/>
      <c r="B478" s="42"/>
      <c r="C478" s="42"/>
      <c r="D478" s="42"/>
      <c r="E478" s="42"/>
      <c r="F478" s="98"/>
      <c r="G478" s="92"/>
    </row>
    <row r="479" spans="1:7" ht="30" customHeight="1" x14ac:dyDescent="0.35">
      <c r="A479" s="42"/>
      <c r="B479" s="42"/>
      <c r="C479" s="42"/>
      <c r="D479" s="42"/>
      <c r="E479" s="42"/>
      <c r="F479" s="97"/>
      <c r="G479" s="95"/>
    </row>
    <row r="480" spans="1:7" ht="30" customHeight="1" x14ac:dyDescent="0.35">
      <c r="A480" s="42"/>
      <c r="B480" s="42"/>
      <c r="C480" s="42"/>
      <c r="D480" s="42"/>
      <c r="E480" s="42"/>
      <c r="F480" s="98"/>
      <c r="G480" s="92"/>
    </row>
    <row r="481" spans="1:7" ht="30" customHeight="1" x14ac:dyDescent="0.35">
      <c r="A481" s="42"/>
      <c r="B481" s="42"/>
      <c r="C481" s="42"/>
      <c r="D481" s="42"/>
      <c r="E481" s="42"/>
      <c r="F481" s="97"/>
      <c r="G481" s="95"/>
    </row>
    <row r="482" spans="1:7" ht="30" customHeight="1" x14ac:dyDescent="0.35">
      <c r="A482" s="42"/>
      <c r="B482" s="42"/>
      <c r="C482" s="42"/>
      <c r="D482" s="42"/>
      <c r="E482" s="42"/>
      <c r="F482" s="98"/>
      <c r="G482" s="92"/>
    </row>
    <row r="483" spans="1:7" ht="30" customHeight="1" x14ac:dyDescent="0.35">
      <c r="A483" s="42"/>
      <c r="B483" s="42"/>
      <c r="C483" s="42"/>
      <c r="D483" s="42"/>
      <c r="E483" s="42"/>
      <c r="F483" s="97"/>
      <c r="G483" s="95"/>
    </row>
    <row r="484" spans="1:7" ht="30" customHeight="1" x14ac:dyDescent="0.35">
      <c r="A484" s="42"/>
      <c r="B484" s="42"/>
      <c r="C484" s="42"/>
      <c r="D484" s="42"/>
      <c r="E484" s="42"/>
      <c r="F484" s="98"/>
      <c r="G484" s="92"/>
    </row>
    <row r="485" spans="1:7" ht="30" customHeight="1" x14ac:dyDescent="0.35">
      <c r="A485" s="42"/>
      <c r="B485" s="42"/>
      <c r="C485" s="42"/>
      <c r="D485" s="42"/>
      <c r="E485" s="42"/>
      <c r="F485" s="97"/>
      <c r="G485" s="95"/>
    </row>
    <row r="486" spans="1:7" ht="30" customHeight="1" x14ac:dyDescent="0.35">
      <c r="A486" s="42"/>
      <c r="B486" s="42"/>
      <c r="C486" s="42"/>
      <c r="D486" s="42"/>
      <c r="E486" s="42"/>
      <c r="F486" s="98"/>
      <c r="G486" s="92"/>
    </row>
    <row r="487" spans="1:7" ht="30" customHeight="1" x14ac:dyDescent="0.35">
      <c r="A487" s="42"/>
      <c r="B487" s="42"/>
      <c r="C487" s="42"/>
      <c r="D487" s="42"/>
      <c r="E487" s="42"/>
      <c r="F487" s="97"/>
      <c r="G487" s="95"/>
    </row>
    <row r="488" spans="1:7" ht="30" customHeight="1" x14ac:dyDescent="0.35">
      <c r="A488" s="42"/>
      <c r="B488" s="42"/>
      <c r="C488" s="42"/>
      <c r="D488" s="42"/>
      <c r="E488" s="42"/>
      <c r="F488" s="98"/>
      <c r="G488" s="92"/>
    </row>
    <row r="489" spans="1:7" ht="30" customHeight="1" x14ac:dyDescent="0.35">
      <c r="A489" s="42"/>
      <c r="B489" s="42"/>
      <c r="C489" s="42"/>
      <c r="D489" s="42"/>
      <c r="E489" s="42"/>
      <c r="F489" s="97"/>
      <c r="G489" s="95"/>
    </row>
    <row r="490" spans="1:7" ht="30" customHeight="1" x14ac:dyDescent="0.35">
      <c r="A490" s="42"/>
      <c r="B490" s="42"/>
      <c r="C490" s="42"/>
      <c r="D490" s="42"/>
      <c r="E490" s="42"/>
      <c r="F490" s="98"/>
      <c r="G490" s="92"/>
    </row>
    <row r="491" spans="1:7" ht="30" customHeight="1" x14ac:dyDescent="0.35">
      <c r="A491" s="42"/>
      <c r="B491" s="42"/>
      <c r="C491" s="42"/>
      <c r="D491" s="42"/>
      <c r="E491" s="42"/>
      <c r="F491" s="97"/>
      <c r="G491" s="95"/>
    </row>
    <row r="492" spans="1:7" ht="30" customHeight="1" x14ac:dyDescent="0.35">
      <c r="A492" s="42"/>
      <c r="B492" s="42"/>
      <c r="C492" s="42"/>
      <c r="D492" s="42"/>
      <c r="E492" s="42"/>
      <c r="F492" s="98"/>
      <c r="G492" s="92"/>
    </row>
    <row r="493" spans="1:7" ht="30" customHeight="1" x14ac:dyDescent="0.35">
      <c r="A493" s="42"/>
      <c r="B493" s="42"/>
      <c r="C493" s="42"/>
      <c r="D493" s="42"/>
      <c r="E493" s="42"/>
      <c r="F493" s="97"/>
      <c r="G493" s="95"/>
    </row>
    <row r="494" spans="1:7" ht="30" customHeight="1" x14ac:dyDescent="0.35">
      <c r="A494" s="42"/>
      <c r="B494" s="42"/>
      <c r="C494" s="42"/>
      <c r="D494" s="42"/>
      <c r="E494" s="42"/>
      <c r="F494" s="98"/>
      <c r="G494" s="92"/>
    </row>
    <row r="495" spans="1:7" ht="30" customHeight="1" x14ac:dyDescent="0.35">
      <c r="A495" s="42"/>
      <c r="B495" s="42"/>
      <c r="C495" s="42"/>
      <c r="D495" s="42"/>
      <c r="E495" s="42"/>
      <c r="F495" s="97"/>
      <c r="G495" s="95"/>
    </row>
    <row r="496" spans="1:7" ht="30" customHeight="1" x14ac:dyDescent="0.35">
      <c r="A496" s="42"/>
      <c r="B496" s="42"/>
      <c r="C496" s="42"/>
      <c r="D496" s="42"/>
      <c r="E496" s="42"/>
      <c r="F496" s="98"/>
      <c r="G496" s="92"/>
    </row>
    <row r="497" spans="1:7" ht="30" customHeight="1" x14ac:dyDescent="0.35">
      <c r="A497" s="42"/>
      <c r="B497" s="42"/>
      <c r="C497" s="42"/>
      <c r="D497" s="42"/>
      <c r="E497" s="42"/>
      <c r="F497" s="97"/>
      <c r="G497" s="95"/>
    </row>
    <row r="498" spans="1:7" ht="30" customHeight="1" x14ac:dyDescent="0.35">
      <c r="A498" s="42"/>
      <c r="B498" s="42"/>
      <c r="C498" s="42"/>
      <c r="D498" s="42"/>
      <c r="E498" s="42"/>
      <c r="F498" s="98"/>
      <c r="G498" s="92"/>
    </row>
    <row r="499" spans="1:7" ht="30" customHeight="1" x14ac:dyDescent="0.35">
      <c r="A499" s="42"/>
      <c r="B499" s="42"/>
      <c r="C499" s="42"/>
      <c r="D499" s="42"/>
      <c r="E499" s="42"/>
      <c r="F499" s="97"/>
      <c r="G499" s="95"/>
    </row>
    <row r="500" spans="1:7" ht="30" customHeight="1" x14ac:dyDescent="0.35">
      <c r="A500" s="42"/>
      <c r="B500" s="42"/>
      <c r="C500" s="42"/>
      <c r="D500" s="42"/>
      <c r="E500" s="42"/>
      <c r="F500" s="98"/>
      <c r="G500" s="92"/>
    </row>
    <row r="501" spans="1:7" ht="30" customHeight="1" x14ac:dyDescent="0.35">
      <c r="A501" s="42"/>
      <c r="B501" s="42"/>
      <c r="C501" s="42"/>
      <c r="D501" s="42"/>
      <c r="E501" s="42"/>
      <c r="F501" s="97"/>
      <c r="G501" s="95"/>
    </row>
    <row r="502" spans="1:7" ht="30" customHeight="1" x14ac:dyDescent="0.35">
      <c r="A502" s="42"/>
      <c r="B502" s="42"/>
      <c r="C502" s="42"/>
      <c r="D502" s="42"/>
      <c r="E502" s="42"/>
      <c r="F502" s="98"/>
      <c r="G502" s="92"/>
    </row>
    <row r="503" spans="1:7" ht="30" customHeight="1" x14ac:dyDescent="0.35">
      <c r="A503" s="42"/>
      <c r="B503" s="42"/>
      <c r="C503" s="42"/>
      <c r="D503" s="42"/>
      <c r="E503" s="42"/>
      <c r="F503" s="97"/>
      <c r="G503" s="95"/>
    </row>
    <row r="504" spans="1:7" ht="30" customHeight="1" x14ac:dyDescent="0.35">
      <c r="A504" s="42"/>
      <c r="B504" s="42"/>
      <c r="C504" s="42"/>
      <c r="D504" s="42"/>
      <c r="E504" s="42"/>
      <c r="F504" s="98"/>
      <c r="G504" s="92"/>
    </row>
    <row r="505" spans="1:7" ht="30" customHeight="1" x14ac:dyDescent="0.35">
      <c r="A505" s="42"/>
      <c r="B505" s="42"/>
      <c r="C505" s="42"/>
      <c r="D505" s="42"/>
      <c r="E505" s="42"/>
      <c r="F505" s="97"/>
      <c r="G505" s="95"/>
    </row>
    <row r="506" spans="1:7" ht="30" customHeight="1" x14ac:dyDescent="0.35">
      <c r="A506" s="42"/>
      <c r="B506" s="42"/>
      <c r="C506" s="42"/>
      <c r="D506" s="42"/>
      <c r="E506" s="42"/>
      <c r="F506" s="98"/>
      <c r="G506" s="92"/>
    </row>
    <row r="507" spans="1:7" ht="30" customHeight="1" x14ac:dyDescent="0.35">
      <c r="A507" s="42"/>
      <c r="B507" s="42"/>
      <c r="C507" s="42"/>
      <c r="D507" s="42"/>
      <c r="E507" s="42"/>
      <c r="F507" s="97"/>
      <c r="G507" s="95"/>
    </row>
    <row r="508" spans="1:7" ht="30" customHeight="1" x14ac:dyDescent="0.35">
      <c r="A508" s="42"/>
      <c r="B508" s="42"/>
      <c r="C508" s="42"/>
      <c r="D508" s="42"/>
      <c r="E508" s="42"/>
      <c r="F508" s="98"/>
      <c r="G508" s="92"/>
    </row>
    <row r="509" spans="1:7" ht="30" customHeight="1" x14ac:dyDescent="0.35">
      <c r="A509" s="42"/>
      <c r="B509" s="42"/>
      <c r="C509" s="42"/>
      <c r="D509" s="42"/>
      <c r="E509" s="42"/>
      <c r="F509" s="97"/>
      <c r="G509" s="95"/>
    </row>
    <row r="510" spans="1:7" ht="30" customHeight="1" x14ac:dyDescent="0.35">
      <c r="A510" s="42"/>
      <c r="B510" s="42"/>
      <c r="C510" s="42"/>
      <c r="D510" s="42"/>
      <c r="E510" s="42"/>
      <c r="F510" s="98"/>
      <c r="G510" s="92"/>
    </row>
    <row r="511" spans="1:7" ht="30" customHeight="1" x14ac:dyDescent="0.35">
      <c r="A511" s="42"/>
      <c r="B511" s="42"/>
      <c r="C511" s="42"/>
      <c r="D511" s="42"/>
      <c r="E511" s="42"/>
      <c r="F511" s="97"/>
      <c r="G511" s="95"/>
    </row>
    <row r="512" spans="1:7" ht="30" customHeight="1" x14ac:dyDescent="0.35">
      <c r="A512" s="42"/>
      <c r="B512" s="42"/>
      <c r="C512" s="42"/>
      <c r="D512" s="42"/>
      <c r="E512" s="42"/>
      <c r="F512" s="98"/>
      <c r="G512" s="92"/>
    </row>
    <row r="513" spans="1:7" ht="30" customHeight="1" x14ac:dyDescent="0.35">
      <c r="A513" s="42"/>
      <c r="B513" s="42"/>
      <c r="C513" s="42"/>
      <c r="D513" s="42"/>
      <c r="E513" s="42"/>
      <c r="F513" s="97"/>
      <c r="G513" s="95"/>
    </row>
    <row r="514" spans="1:7" ht="30" customHeight="1" x14ac:dyDescent="0.35">
      <c r="A514" s="42"/>
      <c r="B514" s="42"/>
      <c r="C514" s="42"/>
      <c r="D514" s="42"/>
      <c r="E514" s="42"/>
      <c r="F514" s="98"/>
      <c r="G514" s="92"/>
    </row>
    <row r="515" spans="1:7" ht="30" customHeight="1" x14ac:dyDescent="0.35">
      <c r="A515" s="42"/>
      <c r="B515" s="42"/>
      <c r="C515" s="42"/>
      <c r="D515" s="42"/>
      <c r="E515" s="42"/>
      <c r="F515" s="97"/>
      <c r="G515" s="95"/>
    </row>
    <row r="516" spans="1:7" ht="30" customHeight="1" x14ac:dyDescent="0.35">
      <c r="A516" s="42"/>
      <c r="B516" s="42"/>
      <c r="C516" s="42"/>
      <c r="D516" s="42"/>
      <c r="E516" s="42"/>
      <c r="F516" s="98"/>
      <c r="G516" s="92"/>
    </row>
    <row r="517" spans="1:7" ht="30" customHeight="1" x14ac:dyDescent="0.35">
      <c r="A517" s="42"/>
      <c r="B517" s="42"/>
      <c r="C517" s="42"/>
      <c r="D517" s="42"/>
      <c r="E517" s="42"/>
      <c r="F517" s="97"/>
      <c r="G517" s="95"/>
    </row>
    <row r="518" spans="1:7" ht="30" customHeight="1" x14ac:dyDescent="0.35">
      <c r="A518" s="42"/>
      <c r="B518" s="42"/>
      <c r="C518" s="42"/>
      <c r="D518" s="42"/>
      <c r="E518" s="42"/>
      <c r="F518" s="98"/>
      <c r="G518" s="92"/>
    </row>
    <row r="519" spans="1:7" ht="30" customHeight="1" x14ac:dyDescent="0.35">
      <c r="A519" s="42"/>
      <c r="B519" s="42"/>
      <c r="C519" s="42"/>
      <c r="D519" s="42"/>
      <c r="E519" s="42"/>
      <c r="F519" s="97"/>
      <c r="G519" s="95"/>
    </row>
    <row r="520" spans="1:7" ht="30" customHeight="1" x14ac:dyDescent="0.35">
      <c r="A520" s="42"/>
      <c r="B520" s="42"/>
      <c r="C520" s="42"/>
      <c r="D520" s="42"/>
      <c r="E520" s="42"/>
      <c r="F520" s="98"/>
      <c r="G520" s="92"/>
    </row>
    <row r="521" spans="1:7" ht="30" customHeight="1" x14ac:dyDescent="0.35">
      <c r="A521" s="42"/>
      <c r="B521" s="42"/>
      <c r="C521" s="42"/>
      <c r="D521" s="42"/>
      <c r="E521" s="42"/>
      <c r="F521" s="97"/>
      <c r="G521" s="95"/>
    </row>
    <row r="522" spans="1:7" ht="30" customHeight="1" x14ac:dyDescent="0.35">
      <c r="A522" s="42"/>
      <c r="B522" s="42"/>
      <c r="C522" s="42"/>
      <c r="D522" s="42"/>
      <c r="E522" s="42"/>
      <c r="F522" s="98"/>
      <c r="G522" s="92"/>
    </row>
    <row r="523" spans="1:7" ht="30" customHeight="1" x14ac:dyDescent="0.35">
      <c r="A523" s="42"/>
      <c r="B523" s="42"/>
      <c r="C523" s="42"/>
      <c r="D523" s="42"/>
      <c r="E523" s="42"/>
      <c r="F523" s="97"/>
      <c r="G523" s="95"/>
    </row>
    <row r="524" spans="1:7" ht="30" customHeight="1" x14ac:dyDescent="0.35">
      <c r="A524" s="42"/>
      <c r="B524" s="42"/>
      <c r="C524" s="42"/>
      <c r="D524" s="42"/>
      <c r="E524" s="42"/>
      <c r="F524" s="98"/>
      <c r="G524" s="92"/>
    </row>
    <row r="525" spans="1:7" ht="30" customHeight="1" x14ac:dyDescent="0.35">
      <c r="A525" s="42"/>
      <c r="B525" s="42"/>
      <c r="C525" s="42"/>
      <c r="D525" s="42"/>
      <c r="E525" s="42"/>
      <c r="F525" s="97"/>
      <c r="G525" s="95"/>
    </row>
    <row r="526" spans="1:7" ht="30" customHeight="1" x14ac:dyDescent="0.35">
      <c r="A526" s="42"/>
      <c r="B526" s="42"/>
      <c r="C526" s="42"/>
      <c r="D526" s="42"/>
      <c r="E526" s="42"/>
      <c r="F526" s="98"/>
      <c r="G526" s="92"/>
    </row>
    <row r="527" spans="1:7" ht="30" customHeight="1" x14ac:dyDescent="0.35">
      <c r="A527" s="42"/>
      <c r="B527" s="42"/>
      <c r="C527" s="42"/>
      <c r="D527" s="42"/>
      <c r="E527" s="42"/>
      <c r="F527" s="97"/>
      <c r="G527" s="95"/>
    </row>
    <row r="528" spans="1:7" ht="30" customHeight="1" x14ac:dyDescent="0.35">
      <c r="A528" s="42"/>
      <c r="B528" s="42"/>
      <c r="C528" s="42"/>
      <c r="D528" s="42"/>
      <c r="E528" s="42"/>
      <c r="F528" s="98"/>
      <c r="G528" s="92"/>
    </row>
    <row r="529" spans="1:7" ht="30" customHeight="1" x14ac:dyDescent="0.35">
      <c r="A529" s="42"/>
      <c r="B529" s="42"/>
      <c r="C529" s="42"/>
      <c r="D529" s="42"/>
      <c r="E529" s="42"/>
      <c r="F529" s="97"/>
      <c r="G529" s="95"/>
    </row>
    <row r="530" spans="1:7" ht="30" customHeight="1" x14ac:dyDescent="0.35">
      <c r="A530" s="42"/>
      <c r="B530" s="42"/>
      <c r="C530" s="42"/>
      <c r="D530" s="42"/>
      <c r="E530" s="42"/>
      <c r="F530" s="98"/>
      <c r="G530" s="92"/>
    </row>
    <row r="531" spans="1:7" ht="30" customHeight="1" x14ac:dyDescent="0.35">
      <c r="A531" s="42"/>
      <c r="B531" s="42"/>
      <c r="C531" s="42"/>
      <c r="D531" s="42"/>
      <c r="E531" s="42"/>
      <c r="F531" s="97"/>
      <c r="G531" s="95"/>
    </row>
    <row r="532" spans="1:7" ht="30" customHeight="1" x14ac:dyDescent="0.35">
      <c r="A532" s="42"/>
      <c r="B532" s="42"/>
      <c r="C532" s="42"/>
      <c r="D532" s="42"/>
      <c r="E532" s="42"/>
      <c r="F532" s="98"/>
      <c r="G532" s="92"/>
    </row>
    <row r="533" spans="1:7" ht="30" customHeight="1" x14ac:dyDescent="0.35">
      <c r="A533" s="42"/>
      <c r="B533" s="42"/>
      <c r="C533" s="42"/>
      <c r="D533" s="42"/>
      <c r="E533" s="42"/>
      <c r="F533" s="97"/>
      <c r="G533" s="95"/>
    </row>
    <row r="534" spans="1:7" ht="30" customHeight="1" x14ac:dyDescent="0.35">
      <c r="A534" s="42"/>
      <c r="B534" s="42"/>
      <c r="C534" s="42"/>
      <c r="D534" s="42"/>
      <c r="E534" s="42"/>
      <c r="F534" s="98"/>
      <c r="G534" s="92"/>
    </row>
    <row r="535" spans="1:7" ht="30" customHeight="1" x14ac:dyDescent="0.35">
      <c r="A535" s="42"/>
      <c r="B535" s="42"/>
      <c r="C535" s="42"/>
      <c r="D535" s="42"/>
      <c r="E535" s="42"/>
      <c r="F535" s="97"/>
      <c r="G535" s="95"/>
    </row>
    <row r="536" spans="1:7" ht="30" customHeight="1" x14ac:dyDescent="0.35">
      <c r="A536" s="42"/>
      <c r="B536" s="42"/>
      <c r="C536" s="42"/>
      <c r="D536" s="42"/>
      <c r="E536" s="42"/>
      <c r="F536" s="98"/>
      <c r="G536" s="92"/>
    </row>
    <row r="537" spans="1:7" ht="30" customHeight="1" x14ac:dyDescent="0.35">
      <c r="A537" s="42"/>
      <c r="B537" s="42"/>
      <c r="C537" s="42"/>
      <c r="D537" s="42"/>
      <c r="E537" s="42"/>
      <c r="F537" s="97"/>
      <c r="G537" s="95"/>
    </row>
    <row r="538" spans="1:7" ht="30" customHeight="1" x14ac:dyDescent="0.35">
      <c r="A538" s="42"/>
      <c r="B538" s="42"/>
      <c r="C538" s="42"/>
      <c r="D538" s="42"/>
      <c r="E538" s="42"/>
      <c r="F538" s="98"/>
      <c r="G538" s="92"/>
    </row>
    <row r="539" spans="1:7" ht="30" customHeight="1" x14ac:dyDescent="0.35">
      <c r="A539" s="42"/>
      <c r="B539" s="42"/>
      <c r="C539" s="42"/>
      <c r="D539" s="42"/>
      <c r="E539" s="42"/>
      <c r="F539" s="97"/>
      <c r="G539" s="95"/>
    </row>
    <row r="540" spans="1:7" ht="30" customHeight="1" x14ac:dyDescent="0.35">
      <c r="A540" s="42"/>
      <c r="B540" s="42"/>
      <c r="C540" s="42"/>
      <c r="D540" s="42"/>
      <c r="E540" s="42"/>
      <c r="F540" s="98"/>
      <c r="G540" s="92"/>
    </row>
    <row r="541" spans="1:7" ht="30" customHeight="1" x14ac:dyDescent="0.35">
      <c r="A541" s="42"/>
      <c r="B541" s="42"/>
      <c r="C541" s="42"/>
      <c r="D541" s="42"/>
      <c r="E541" s="42"/>
      <c r="F541" s="97"/>
      <c r="G541" s="95"/>
    </row>
    <row r="542" spans="1:7" ht="30" customHeight="1" x14ac:dyDescent="0.35">
      <c r="A542" s="42"/>
      <c r="B542" s="42"/>
      <c r="C542" s="42"/>
      <c r="D542" s="42"/>
      <c r="E542" s="42"/>
      <c r="F542" s="98"/>
      <c r="G542" s="92"/>
    </row>
    <row r="543" spans="1:7" ht="30" customHeight="1" x14ac:dyDescent="0.35">
      <c r="A543" s="42"/>
      <c r="B543" s="42"/>
      <c r="C543" s="42"/>
      <c r="D543" s="42"/>
      <c r="E543" s="42"/>
      <c r="F543" s="97"/>
      <c r="G543" s="95"/>
    </row>
    <row r="544" spans="1:7" ht="30" customHeight="1" x14ac:dyDescent="0.35">
      <c r="A544" s="42"/>
      <c r="B544" s="42"/>
      <c r="C544" s="42"/>
      <c r="D544" s="42"/>
      <c r="E544" s="42"/>
      <c r="F544" s="98"/>
      <c r="G544" s="92"/>
    </row>
    <row r="545" spans="1:7" ht="30" customHeight="1" x14ac:dyDescent="0.35">
      <c r="A545" s="42"/>
      <c r="B545" s="42"/>
      <c r="C545" s="42"/>
      <c r="D545" s="42"/>
      <c r="E545" s="42"/>
      <c r="F545" s="97"/>
      <c r="G545" s="95"/>
    </row>
    <row r="546" spans="1:7" ht="30" customHeight="1" x14ac:dyDescent="0.35">
      <c r="A546" s="42"/>
      <c r="B546" s="42"/>
      <c r="C546" s="42"/>
      <c r="D546" s="42"/>
      <c r="E546" s="42"/>
      <c r="F546" s="98"/>
      <c r="G546" s="92"/>
    </row>
    <row r="547" spans="1:7" ht="30" customHeight="1" x14ac:dyDescent="0.35">
      <c r="A547" s="42"/>
      <c r="B547" s="42"/>
      <c r="C547" s="42"/>
      <c r="D547" s="42"/>
      <c r="E547" s="42"/>
      <c r="F547" s="97"/>
      <c r="G547" s="95"/>
    </row>
    <row r="548" spans="1:7" ht="30" customHeight="1" x14ac:dyDescent="0.35">
      <c r="A548" s="42"/>
      <c r="B548" s="42"/>
      <c r="C548" s="42"/>
      <c r="D548" s="42"/>
      <c r="E548" s="42"/>
      <c r="F548" s="98"/>
      <c r="G548" s="92"/>
    </row>
    <row r="549" spans="1:7" ht="30" customHeight="1" x14ac:dyDescent="0.35">
      <c r="A549" s="42"/>
      <c r="B549" s="42"/>
      <c r="C549" s="42"/>
      <c r="D549" s="42"/>
      <c r="E549" s="42"/>
      <c r="F549" s="97"/>
      <c r="G549" s="95"/>
    </row>
    <row r="550" spans="1:7" ht="30" customHeight="1" x14ac:dyDescent="0.35">
      <c r="A550" s="42"/>
      <c r="B550" s="42"/>
      <c r="C550" s="42"/>
      <c r="D550" s="42"/>
      <c r="E550" s="42"/>
      <c r="F550" s="98"/>
      <c r="G550" s="92"/>
    </row>
    <row r="551" spans="1:7" ht="30" customHeight="1" x14ac:dyDescent="0.35">
      <c r="A551" s="42"/>
      <c r="B551" s="42"/>
      <c r="C551" s="42"/>
      <c r="D551" s="42"/>
      <c r="E551" s="42"/>
      <c r="F551" s="97"/>
      <c r="G551" s="95"/>
    </row>
    <row r="552" spans="1:7" ht="30" customHeight="1" x14ac:dyDescent="0.35">
      <c r="A552" s="42"/>
      <c r="B552" s="42"/>
      <c r="C552" s="42"/>
      <c r="D552" s="42"/>
      <c r="E552" s="42"/>
      <c r="F552" s="98"/>
      <c r="G552" s="92"/>
    </row>
    <row r="553" spans="1:7" ht="30" customHeight="1" x14ac:dyDescent="0.35">
      <c r="A553" s="42"/>
      <c r="B553" s="42"/>
      <c r="C553" s="42"/>
      <c r="D553" s="42"/>
      <c r="E553" s="42"/>
      <c r="F553" s="97"/>
      <c r="G553" s="95"/>
    </row>
    <row r="554" spans="1:7" ht="30" customHeight="1" x14ac:dyDescent="0.35">
      <c r="A554" s="42"/>
      <c r="B554" s="42"/>
      <c r="C554" s="42"/>
      <c r="D554" s="42"/>
      <c r="E554" s="42"/>
      <c r="F554" s="98"/>
      <c r="G554" s="92"/>
    </row>
    <row r="555" spans="1:7" ht="30" customHeight="1" x14ac:dyDescent="0.35">
      <c r="A555" s="42"/>
      <c r="B555" s="42"/>
      <c r="C555" s="42"/>
      <c r="D555" s="42"/>
      <c r="E555" s="42"/>
      <c r="F555" s="97"/>
      <c r="G555" s="95"/>
    </row>
    <row r="556" spans="1:7" ht="30" customHeight="1" x14ac:dyDescent="0.35">
      <c r="A556" s="42"/>
      <c r="B556" s="42"/>
      <c r="C556" s="42"/>
      <c r="D556" s="42"/>
      <c r="E556" s="42"/>
      <c r="F556" s="98"/>
      <c r="G556" s="92"/>
    </row>
    <row r="557" spans="1:7" ht="30" customHeight="1" x14ac:dyDescent="0.35">
      <c r="A557" s="42"/>
      <c r="B557" s="42"/>
      <c r="C557" s="42"/>
      <c r="D557" s="42"/>
      <c r="E557" s="42"/>
      <c r="F557" s="97"/>
      <c r="G557" s="95"/>
    </row>
    <row r="558" spans="1:7" ht="30" customHeight="1" x14ac:dyDescent="0.35">
      <c r="A558" s="42"/>
      <c r="B558" s="42"/>
      <c r="C558" s="42"/>
      <c r="D558" s="42"/>
      <c r="E558" s="42"/>
      <c r="F558" s="98"/>
      <c r="G558" s="92"/>
    </row>
    <row r="559" spans="1:7" ht="30" customHeight="1" x14ac:dyDescent="0.35">
      <c r="A559" s="42"/>
      <c r="B559" s="42"/>
      <c r="C559" s="42"/>
      <c r="D559" s="42"/>
      <c r="E559" s="42"/>
      <c r="F559" s="97"/>
      <c r="G559" s="95"/>
    </row>
    <row r="560" spans="1:7" ht="30" customHeight="1" x14ac:dyDescent="0.35">
      <c r="A560" s="42"/>
      <c r="B560" s="42"/>
      <c r="C560" s="42"/>
      <c r="D560" s="42"/>
      <c r="E560" s="42"/>
      <c r="F560" s="98"/>
      <c r="G560" s="92"/>
    </row>
    <row r="561" spans="1:7" ht="30" customHeight="1" x14ac:dyDescent="0.35">
      <c r="A561" s="42"/>
      <c r="B561" s="42"/>
      <c r="C561" s="42"/>
      <c r="D561" s="42"/>
      <c r="E561" s="42"/>
      <c r="F561" s="97"/>
      <c r="G561" s="95"/>
    </row>
    <row r="562" spans="1:7" ht="30" customHeight="1" x14ac:dyDescent="0.35">
      <c r="A562" s="42"/>
      <c r="B562" s="42"/>
      <c r="C562" s="42"/>
      <c r="D562" s="42"/>
      <c r="E562" s="42"/>
      <c r="F562" s="98"/>
      <c r="G562" s="92"/>
    </row>
    <row r="563" spans="1:7" ht="30" customHeight="1" x14ac:dyDescent="0.35">
      <c r="A563" s="42"/>
      <c r="B563" s="42"/>
      <c r="C563" s="42"/>
      <c r="D563" s="42"/>
      <c r="E563" s="42"/>
      <c r="F563" s="97"/>
      <c r="G563" s="95"/>
    </row>
    <row r="564" spans="1:7" ht="30" customHeight="1" x14ac:dyDescent="0.35">
      <c r="A564" s="42"/>
      <c r="B564" s="42"/>
      <c r="C564" s="42"/>
      <c r="D564" s="42"/>
      <c r="E564" s="42"/>
      <c r="F564" s="98"/>
      <c r="G564" s="92"/>
    </row>
    <row r="565" spans="1:7" ht="30" customHeight="1" x14ac:dyDescent="0.35">
      <c r="A565" s="42"/>
      <c r="B565" s="42"/>
      <c r="C565" s="42"/>
      <c r="D565" s="42"/>
      <c r="E565" s="42"/>
      <c r="F565" s="97"/>
      <c r="G565" s="95"/>
    </row>
    <row r="566" spans="1:7" ht="30" customHeight="1" x14ac:dyDescent="0.35">
      <c r="A566" s="42"/>
      <c r="B566" s="42"/>
      <c r="C566" s="42"/>
      <c r="D566" s="42"/>
      <c r="E566" s="42"/>
      <c r="F566" s="98"/>
      <c r="G566" s="92"/>
    </row>
    <row r="567" spans="1:7" ht="30" customHeight="1" x14ac:dyDescent="0.35">
      <c r="A567" s="42"/>
      <c r="B567" s="42"/>
      <c r="C567" s="42"/>
      <c r="D567" s="42"/>
      <c r="E567" s="42"/>
      <c r="F567" s="97"/>
      <c r="G567" s="95"/>
    </row>
    <row r="568" spans="1:7" ht="30" customHeight="1" x14ac:dyDescent="0.35">
      <c r="A568" s="42"/>
      <c r="B568" s="42"/>
      <c r="C568" s="42"/>
      <c r="D568" s="42"/>
      <c r="E568" s="42"/>
      <c r="F568" s="98"/>
      <c r="G568" s="92"/>
    </row>
    <row r="569" spans="1:7" ht="30" customHeight="1" x14ac:dyDescent="0.35">
      <c r="A569" s="42"/>
      <c r="B569" s="42"/>
      <c r="C569" s="42"/>
      <c r="D569" s="42"/>
      <c r="E569" s="42"/>
      <c r="F569" s="97"/>
      <c r="G569" s="95"/>
    </row>
    <row r="570" spans="1:7" ht="30" customHeight="1" x14ac:dyDescent="0.35">
      <c r="A570" s="42"/>
      <c r="B570" s="42"/>
      <c r="C570" s="42"/>
      <c r="D570" s="42"/>
      <c r="E570" s="42"/>
      <c r="F570" s="98"/>
      <c r="G570" s="92"/>
    </row>
    <row r="571" spans="1:7" ht="30" customHeight="1" x14ac:dyDescent="0.35">
      <c r="A571" s="42"/>
      <c r="B571" s="42"/>
      <c r="C571" s="42"/>
      <c r="D571" s="42"/>
      <c r="E571" s="42"/>
      <c r="F571" s="97"/>
      <c r="G571" s="95"/>
    </row>
    <row r="572" spans="1:7" ht="30" customHeight="1" x14ac:dyDescent="0.35">
      <c r="A572" s="42"/>
      <c r="B572" s="42"/>
      <c r="C572" s="42"/>
      <c r="D572" s="42"/>
      <c r="E572" s="42"/>
      <c r="F572" s="98"/>
      <c r="G572" s="92"/>
    </row>
    <row r="573" spans="1:7" ht="30" customHeight="1" x14ac:dyDescent="0.35">
      <c r="A573" s="42"/>
      <c r="B573" s="42"/>
      <c r="C573" s="42"/>
      <c r="D573" s="42"/>
      <c r="E573" s="42"/>
      <c r="F573" s="97"/>
      <c r="G573" s="95"/>
    </row>
    <row r="574" spans="1:7" ht="30" customHeight="1" x14ac:dyDescent="0.35">
      <c r="A574" s="42"/>
      <c r="B574" s="42"/>
      <c r="C574" s="42"/>
      <c r="D574" s="42"/>
      <c r="E574" s="42"/>
      <c r="F574" s="98"/>
      <c r="G574" s="92"/>
    </row>
    <row r="575" spans="1:7" ht="30" customHeight="1" x14ac:dyDescent="0.35">
      <c r="A575" s="42"/>
      <c r="B575" s="42"/>
      <c r="C575" s="42"/>
      <c r="D575" s="42"/>
      <c r="E575" s="42"/>
      <c r="F575" s="97"/>
      <c r="G575" s="95"/>
    </row>
    <row r="576" spans="1:7" ht="30" customHeight="1" x14ac:dyDescent="0.35">
      <c r="A576" s="42"/>
      <c r="B576" s="42"/>
      <c r="C576" s="42"/>
      <c r="D576" s="42"/>
      <c r="E576" s="42"/>
      <c r="F576" s="98"/>
      <c r="G576" s="92"/>
    </row>
    <row r="577" spans="1:7" ht="30" customHeight="1" x14ac:dyDescent="0.35">
      <c r="A577" s="42"/>
      <c r="B577" s="42"/>
      <c r="C577" s="42"/>
      <c r="D577" s="42"/>
      <c r="E577" s="42"/>
      <c r="F577" s="97"/>
      <c r="G577" s="95"/>
    </row>
    <row r="578" spans="1:7" ht="30" customHeight="1" x14ac:dyDescent="0.35">
      <c r="A578" s="42"/>
      <c r="B578" s="42"/>
      <c r="C578" s="42"/>
      <c r="D578" s="42"/>
      <c r="E578" s="42"/>
      <c r="F578" s="98"/>
      <c r="G578" s="92"/>
    </row>
    <row r="579" spans="1:7" ht="30" customHeight="1" x14ac:dyDescent="0.35">
      <c r="A579" s="42"/>
      <c r="B579" s="42"/>
      <c r="C579" s="42"/>
      <c r="D579" s="42"/>
      <c r="E579" s="42"/>
      <c r="F579" s="97"/>
      <c r="G579" s="95"/>
    </row>
    <row r="580" spans="1:7" ht="30" customHeight="1" x14ac:dyDescent="0.35">
      <c r="A580" s="42"/>
      <c r="B580" s="42"/>
      <c r="C580" s="42"/>
      <c r="D580" s="42"/>
      <c r="E580" s="42"/>
      <c r="F580" s="98"/>
      <c r="G580" s="92"/>
    </row>
    <row r="581" spans="1:7" ht="30" customHeight="1" x14ac:dyDescent="0.35">
      <c r="A581" s="42"/>
      <c r="B581" s="42"/>
      <c r="C581" s="42"/>
      <c r="D581" s="42"/>
      <c r="E581" s="42"/>
      <c r="F581" s="97"/>
      <c r="G581" s="95"/>
    </row>
    <row r="582" spans="1:7" ht="30" customHeight="1" x14ac:dyDescent="0.35">
      <c r="A582" s="42"/>
      <c r="B582" s="42"/>
      <c r="C582" s="42"/>
      <c r="D582" s="42"/>
      <c r="E582" s="42"/>
      <c r="F582" s="98"/>
      <c r="G582" s="92"/>
    </row>
    <row r="583" spans="1:7" ht="30" customHeight="1" x14ac:dyDescent="0.35">
      <c r="A583" s="42"/>
      <c r="B583" s="42"/>
      <c r="C583" s="42"/>
      <c r="D583" s="42"/>
      <c r="E583" s="42"/>
      <c r="F583" s="97"/>
      <c r="G583" s="95"/>
    </row>
    <row r="584" spans="1:7" ht="30" customHeight="1" x14ac:dyDescent="0.35">
      <c r="A584" s="42"/>
      <c r="B584" s="42"/>
      <c r="C584" s="42"/>
      <c r="D584" s="42"/>
      <c r="E584" s="42"/>
      <c r="F584" s="98"/>
      <c r="G584" s="92"/>
    </row>
    <row r="585" spans="1:7" ht="30" customHeight="1" x14ac:dyDescent="0.35">
      <c r="A585" s="42"/>
      <c r="B585" s="42"/>
      <c r="C585" s="42"/>
      <c r="D585" s="42"/>
      <c r="E585" s="42"/>
      <c r="F585" s="97"/>
      <c r="G585" s="95"/>
    </row>
    <row r="586" spans="1:7" ht="30" customHeight="1" x14ac:dyDescent="0.35">
      <c r="A586" s="42"/>
      <c r="B586" s="42"/>
      <c r="C586" s="42"/>
      <c r="D586" s="42"/>
      <c r="E586" s="42"/>
      <c r="F586" s="98"/>
      <c r="G586" s="92"/>
    </row>
    <row r="587" spans="1:7" ht="30" customHeight="1" x14ac:dyDescent="0.35">
      <c r="A587" s="42"/>
      <c r="B587" s="42"/>
      <c r="C587" s="42"/>
      <c r="D587" s="42"/>
      <c r="E587" s="42"/>
      <c r="F587" s="97"/>
      <c r="G587" s="95"/>
    </row>
    <row r="588" spans="1:7" ht="30" customHeight="1" x14ac:dyDescent="0.35">
      <c r="A588" s="42"/>
      <c r="B588" s="42"/>
      <c r="C588" s="42"/>
      <c r="D588" s="42"/>
      <c r="E588" s="42"/>
      <c r="F588" s="98"/>
      <c r="G588" s="92"/>
    </row>
    <row r="589" spans="1:7" ht="30" customHeight="1" x14ac:dyDescent="0.35">
      <c r="A589" s="42"/>
      <c r="B589" s="42"/>
      <c r="C589" s="42"/>
      <c r="D589" s="42"/>
      <c r="E589" s="42"/>
      <c r="F589" s="97"/>
      <c r="G589" s="95"/>
    </row>
    <row r="590" spans="1:7" ht="30" customHeight="1" x14ac:dyDescent="0.35">
      <c r="A590" s="42"/>
      <c r="B590" s="42"/>
      <c r="C590" s="42"/>
      <c r="D590" s="42"/>
      <c r="E590" s="42"/>
      <c r="F590" s="98"/>
      <c r="G590" s="92"/>
    </row>
    <row r="591" spans="1:7" ht="30" customHeight="1" x14ac:dyDescent="0.35">
      <c r="A591" s="42"/>
      <c r="B591" s="42"/>
      <c r="C591" s="42"/>
      <c r="D591" s="42"/>
      <c r="E591" s="42"/>
      <c r="F591" s="97"/>
      <c r="G591" s="95"/>
    </row>
    <row r="592" spans="1:7" ht="30" customHeight="1" x14ac:dyDescent="0.35">
      <c r="A592" s="42"/>
      <c r="B592" s="42"/>
      <c r="C592" s="42"/>
      <c r="D592" s="42"/>
      <c r="E592" s="42"/>
      <c r="F592" s="98"/>
      <c r="G592" s="92"/>
    </row>
    <row r="593" spans="1:7" ht="30" customHeight="1" x14ac:dyDescent="0.35">
      <c r="A593" s="42"/>
      <c r="B593" s="42"/>
      <c r="C593" s="42"/>
      <c r="D593" s="42"/>
      <c r="E593" s="42"/>
      <c r="F593" s="97"/>
      <c r="G593" s="95"/>
    </row>
    <row r="594" spans="1:7" ht="30" customHeight="1" x14ac:dyDescent="0.35">
      <c r="A594" s="42"/>
      <c r="B594" s="42"/>
      <c r="C594" s="42"/>
      <c r="D594" s="42"/>
      <c r="E594" s="42"/>
      <c r="F594" s="98"/>
      <c r="G594" s="92"/>
    </row>
    <row r="595" spans="1:7" ht="30" customHeight="1" x14ac:dyDescent="0.35">
      <c r="A595" s="42"/>
      <c r="B595" s="42"/>
      <c r="C595" s="42"/>
      <c r="D595" s="42"/>
      <c r="E595" s="42"/>
      <c r="F595" s="97"/>
      <c r="G595" s="95"/>
    </row>
    <row r="596" spans="1:7" ht="30" customHeight="1" x14ac:dyDescent="0.35">
      <c r="A596" s="42"/>
      <c r="B596" s="42"/>
      <c r="C596" s="42"/>
      <c r="D596" s="42"/>
      <c r="E596" s="42"/>
      <c r="F596" s="98"/>
      <c r="G596" s="92"/>
    </row>
    <row r="597" spans="1:7" ht="30" customHeight="1" x14ac:dyDescent="0.35">
      <c r="A597" s="42"/>
      <c r="B597" s="42"/>
      <c r="C597" s="42"/>
      <c r="D597" s="42"/>
      <c r="E597" s="42"/>
      <c r="F597" s="97"/>
      <c r="G597" s="95"/>
    </row>
    <row r="598" spans="1:7" ht="30" customHeight="1" x14ac:dyDescent="0.35">
      <c r="A598" s="42"/>
      <c r="B598" s="42"/>
      <c r="C598" s="42"/>
      <c r="D598" s="42"/>
      <c r="E598" s="42"/>
      <c r="F598" s="98"/>
      <c r="G598" s="92"/>
    </row>
    <row r="599" spans="1:7" ht="30" customHeight="1" x14ac:dyDescent="0.35">
      <c r="A599" s="42"/>
      <c r="B599" s="42"/>
      <c r="C599" s="42"/>
      <c r="D599" s="42"/>
      <c r="E599" s="42"/>
      <c r="F599" s="97"/>
      <c r="G599" s="95"/>
    </row>
    <row r="600" spans="1:7" ht="30" customHeight="1" x14ac:dyDescent="0.35">
      <c r="A600" s="42"/>
      <c r="B600" s="42"/>
      <c r="C600" s="42"/>
      <c r="D600" s="42"/>
      <c r="E600" s="42"/>
      <c r="F600" s="98"/>
      <c r="G600" s="92"/>
    </row>
    <row r="601" spans="1:7" ht="30" customHeight="1" x14ac:dyDescent="0.35">
      <c r="A601" s="42"/>
      <c r="B601" s="42"/>
      <c r="C601" s="42"/>
      <c r="D601" s="42"/>
      <c r="E601" s="42"/>
      <c r="F601" s="97"/>
      <c r="G601" s="95"/>
    </row>
    <row r="602" spans="1:7" ht="30" customHeight="1" x14ac:dyDescent="0.35">
      <c r="A602" s="42"/>
      <c r="B602" s="42"/>
      <c r="C602" s="42"/>
      <c r="D602" s="42"/>
      <c r="E602" s="42"/>
      <c r="F602" s="98"/>
      <c r="G602" s="92"/>
    </row>
    <row r="603" spans="1:7" ht="30" customHeight="1" x14ac:dyDescent="0.35">
      <c r="A603" s="42"/>
      <c r="B603" s="42"/>
      <c r="C603" s="42"/>
      <c r="D603" s="42"/>
      <c r="E603" s="42"/>
      <c r="F603" s="97"/>
      <c r="G603" s="95"/>
    </row>
    <row r="604" spans="1:7" ht="30" customHeight="1" x14ac:dyDescent="0.35">
      <c r="A604" s="42"/>
      <c r="B604" s="42"/>
      <c r="C604" s="42"/>
      <c r="D604" s="42"/>
      <c r="E604" s="42"/>
      <c r="F604" s="98"/>
      <c r="G604" s="92"/>
    </row>
    <row r="605" spans="1:7" ht="30" customHeight="1" x14ac:dyDescent="0.35">
      <c r="A605" s="42"/>
      <c r="B605" s="42"/>
      <c r="C605" s="42"/>
      <c r="D605" s="42"/>
      <c r="E605" s="42"/>
      <c r="F605" s="97"/>
      <c r="G605" s="95"/>
    </row>
    <row r="606" spans="1:7" ht="30" customHeight="1" x14ac:dyDescent="0.35">
      <c r="A606" s="42"/>
      <c r="B606" s="42"/>
      <c r="C606" s="42"/>
      <c r="D606" s="42"/>
      <c r="E606" s="42"/>
      <c r="F606" s="98"/>
      <c r="G606" s="92"/>
    </row>
    <row r="607" spans="1:7" ht="30" customHeight="1" x14ac:dyDescent="0.35">
      <c r="A607" s="42"/>
      <c r="B607" s="42"/>
      <c r="C607" s="42"/>
      <c r="D607" s="42"/>
      <c r="E607" s="42"/>
      <c r="F607" s="97"/>
      <c r="G607" s="95"/>
    </row>
    <row r="608" spans="1:7" ht="30" customHeight="1" x14ac:dyDescent="0.35">
      <c r="A608" s="42"/>
      <c r="B608" s="42"/>
      <c r="C608" s="42"/>
      <c r="D608" s="42"/>
      <c r="E608" s="42"/>
      <c r="F608" s="98"/>
      <c r="G608" s="92"/>
    </row>
    <row r="609" spans="1:7" ht="30" customHeight="1" x14ac:dyDescent="0.35">
      <c r="A609" s="42"/>
      <c r="B609" s="42"/>
      <c r="C609" s="42"/>
      <c r="D609" s="42"/>
      <c r="E609" s="42"/>
      <c r="F609" s="97"/>
      <c r="G609" s="95"/>
    </row>
    <row r="610" spans="1:7" ht="30" customHeight="1" x14ac:dyDescent="0.35">
      <c r="A610" s="42"/>
      <c r="B610" s="42"/>
      <c r="C610" s="42"/>
      <c r="D610" s="42"/>
      <c r="E610" s="42"/>
      <c r="F610" s="98"/>
      <c r="G610" s="92"/>
    </row>
    <row r="611" spans="1:7" ht="30" customHeight="1" x14ac:dyDescent="0.35">
      <c r="A611" s="42"/>
      <c r="B611" s="42"/>
      <c r="C611" s="42"/>
      <c r="D611" s="42"/>
      <c r="E611" s="42"/>
      <c r="F611" s="97"/>
      <c r="G611" s="95"/>
    </row>
    <row r="612" spans="1:7" ht="30" customHeight="1" x14ac:dyDescent="0.35">
      <c r="A612" s="42"/>
      <c r="B612" s="42"/>
      <c r="C612" s="42"/>
      <c r="D612" s="42"/>
      <c r="E612" s="42"/>
      <c r="F612" s="98"/>
      <c r="G612" s="92"/>
    </row>
    <row r="613" spans="1:7" ht="30" customHeight="1" x14ac:dyDescent="0.35">
      <c r="A613" s="42"/>
      <c r="B613" s="42"/>
      <c r="C613" s="42"/>
      <c r="D613" s="42"/>
      <c r="E613" s="42"/>
      <c r="F613" s="97"/>
      <c r="G613" s="95"/>
    </row>
    <row r="614" spans="1:7" ht="30" customHeight="1" x14ac:dyDescent="0.35">
      <c r="A614" s="42"/>
      <c r="B614" s="42"/>
      <c r="C614" s="42"/>
      <c r="D614" s="42"/>
      <c r="E614" s="42"/>
      <c r="F614" s="98"/>
      <c r="G614" s="92"/>
    </row>
    <row r="615" spans="1:7" ht="30" customHeight="1" x14ac:dyDescent="0.35">
      <c r="A615" s="42"/>
      <c r="B615" s="42"/>
      <c r="C615" s="42"/>
      <c r="D615" s="42"/>
      <c r="E615" s="42"/>
      <c r="F615" s="97"/>
      <c r="G615" s="95"/>
    </row>
    <row r="616" spans="1:7" ht="30" customHeight="1" x14ac:dyDescent="0.35">
      <c r="A616" s="42"/>
      <c r="B616" s="42"/>
      <c r="C616" s="42"/>
      <c r="D616" s="42"/>
      <c r="E616" s="42"/>
      <c r="F616" s="98"/>
      <c r="G616" s="92"/>
    </row>
    <row r="617" spans="1:7" ht="30" customHeight="1" x14ac:dyDescent="0.35">
      <c r="A617" s="42"/>
      <c r="B617" s="42"/>
      <c r="C617" s="42"/>
      <c r="D617" s="42"/>
      <c r="E617" s="42"/>
      <c r="F617" s="97"/>
      <c r="G617" s="95"/>
    </row>
    <row r="618" spans="1:7" ht="30" customHeight="1" x14ac:dyDescent="0.35">
      <c r="A618" s="42"/>
      <c r="B618" s="42"/>
      <c r="C618" s="42"/>
      <c r="D618" s="42"/>
      <c r="E618" s="42"/>
      <c r="F618" s="98"/>
      <c r="G618" s="92"/>
    </row>
    <row r="619" spans="1:7" ht="30" customHeight="1" x14ac:dyDescent="0.35">
      <c r="A619" s="42"/>
      <c r="B619" s="42"/>
      <c r="C619" s="42"/>
      <c r="D619" s="42"/>
      <c r="E619" s="42"/>
      <c r="F619" s="97"/>
      <c r="G619" s="95"/>
    </row>
    <row r="620" spans="1:7" ht="30" customHeight="1" x14ac:dyDescent="0.35">
      <c r="A620" s="42"/>
      <c r="B620" s="42"/>
      <c r="C620" s="42"/>
      <c r="D620" s="42"/>
      <c r="E620" s="42"/>
      <c r="F620" s="98"/>
      <c r="G620" s="92"/>
    </row>
    <row r="621" spans="1:7" ht="30" customHeight="1" x14ac:dyDescent="0.35">
      <c r="A621" s="42"/>
      <c r="B621" s="42"/>
      <c r="C621" s="42"/>
      <c r="D621" s="42"/>
      <c r="E621" s="42"/>
      <c r="F621" s="97"/>
      <c r="G621" s="95"/>
    </row>
    <row r="622" spans="1:7" ht="30" customHeight="1" x14ac:dyDescent="0.35">
      <c r="A622" s="42"/>
      <c r="B622" s="42"/>
      <c r="C622" s="42"/>
      <c r="D622" s="42"/>
      <c r="E622" s="42"/>
      <c r="F622" s="98"/>
      <c r="G622" s="92"/>
    </row>
    <row r="623" spans="1:7" ht="30" customHeight="1" x14ac:dyDescent="0.35">
      <c r="A623" s="42"/>
      <c r="B623" s="42"/>
      <c r="C623" s="42"/>
      <c r="D623" s="42"/>
      <c r="E623" s="42"/>
      <c r="F623" s="97"/>
      <c r="G623" s="95"/>
    </row>
    <row r="624" spans="1:7" ht="30" customHeight="1" x14ac:dyDescent="0.35">
      <c r="A624" s="42"/>
      <c r="B624" s="42"/>
      <c r="C624" s="42"/>
      <c r="D624" s="42"/>
      <c r="E624" s="42"/>
      <c r="F624" s="98"/>
      <c r="G624" s="92"/>
    </row>
    <row r="625" spans="1:7" ht="30" customHeight="1" x14ac:dyDescent="0.35">
      <c r="A625" s="42"/>
      <c r="B625" s="42"/>
      <c r="C625" s="42"/>
      <c r="D625" s="42"/>
      <c r="E625" s="42"/>
      <c r="F625" s="97"/>
      <c r="G625" s="95"/>
    </row>
    <row r="626" spans="1:7" ht="30" customHeight="1" x14ac:dyDescent="0.35">
      <c r="A626" s="42"/>
      <c r="B626" s="42"/>
      <c r="C626" s="42"/>
      <c r="D626" s="42"/>
      <c r="E626" s="42"/>
      <c r="F626" s="98"/>
      <c r="G626" s="92"/>
    </row>
    <row r="627" spans="1:7" ht="30" customHeight="1" x14ac:dyDescent="0.35">
      <c r="A627" s="42"/>
      <c r="B627" s="42"/>
      <c r="C627" s="42"/>
      <c r="D627" s="42"/>
      <c r="E627" s="42"/>
      <c r="F627" s="97"/>
      <c r="G627" s="95"/>
    </row>
    <row r="628" spans="1:7" ht="30" customHeight="1" x14ac:dyDescent="0.35">
      <c r="A628" s="42"/>
      <c r="B628" s="42"/>
      <c r="C628" s="42"/>
      <c r="D628" s="42"/>
      <c r="E628" s="42"/>
      <c r="F628" s="98"/>
      <c r="G628" s="92"/>
    </row>
    <row r="629" spans="1:7" ht="30" customHeight="1" x14ac:dyDescent="0.35">
      <c r="A629" s="42"/>
      <c r="B629" s="42"/>
      <c r="C629" s="42"/>
      <c r="D629" s="42"/>
      <c r="E629" s="42"/>
      <c r="F629" s="97"/>
      <c r="G629" s="95"/>
    </row>
    <row r="630" spans="1:7" ht="30" customHeight="1" x14ac:dyDescent="0.35">
      <c r="A630" s="42"/>
      <c r="B630" s="42"/>
      <c r="C630" s="42"/>
      <c r="D630" s="42"/>
      <c r="E630" s="42"/>
      <c r="F630" s="98"/>
      <c r="G630" s="92"/>
    </row>
    <row r="631" spans="1:7" ht="30" customHeight="1" x14ac:dyDescent="0.35">
      <c r="A631" s="42"/>
      <c r="B631" s="42"/>
      <c r="C631" s="42"/>
      <c r="D631" s="42"/>
      <c r="E631" s="42"/>
      <c r="F631" s="97"/>
      <c r="G631" s="95"/>
    </row>
    <row r="632" spans="1:7" ht="30" customHeight="1" x14ac:dyDescent="0.35">
      <c r="A632" s="42"/>
      <c r="B632" s="42"/>
      <c r="C632" s="42"/>
      <c r="D632" s="42"/>
      <c r="E632" s="42"/>
      <c r="F632" s="98"/>
      <c r="G632" s="92"/>
    </row>
    <row r="633" spans="1:7" ht="30" customHeight="1" x14ac:dyDescent="0.35">
      <c r="A633" s="42"/>
      <c r="B633" s="42"/>
      <c r="C633" s="42"/>
      <c r="D633" s="42"/>
      <c r="E633" s="42"/>
      <c r="F633" s="97"/>
      <c r="G633" s="95"/>
    </row>
    <row r="634" spans="1:7" ht="30" customHeight="1" x14ac:dyDescent="0.35">
      <c r="A634" s="42"/>
      <c r="B634" s="42"/>
      <c r="C634" s="42"/>
      <c r="D634" s="42"/>
      <c r="E634" s="42"/>
      <c r="F634" s="98"/>
      <c r="G634" s="92"/>
    </row>
    <row r="635" spans="1:7" ht="30" customHeight="1" x14ac:dyDescent="0.35">
      <c r="A635" s="42"/>
      <c r="B635" s="42"/>
      <c r="C635" s="42"/>
      <c r="D635" s="42"/>
      <c r="E635" s="42"/>
      <c r="F635" s="97"/>
      <c r="G635" s="95"/>
    </row>
    <row r="636" spans="1:7" ht="30" customHeight="1" x14ac:dyDescent="0.35">
      <c r="A636" s="42"/>
      <c r="B636" s="42"/>
      <c r="C636" s="42"/>
      <c r="D636" s="42"/>
      <c r="E636" s="42"/>
      <c r="F636" s="98"/>
      <c r="G636" s="92"/>
    </row>
    <row r="637" spans="1:7" ht="30" customHeight="1" x14ac:dyDescent="0.35">
      <c r="A637" s="42"/>
      <c r="B637" s="42"/>
      <c r="C637" s="42"/>
      <c r="D637" s="42"/>
      <c r="E637" s="42"/>
      <c r="F637" s="97"/>
      <c r="G637" s="95"/>
    </row>
    <row r="638" spans="1:7" ht="30" customHeight="1" x14ac:dyDescent="0.35">
      <c r="A638" s="42"/>
      <c r="B638" s="42"/>
      <c r="C638" s="42"/>
      <c r="D638" s="42"/>
      <c r="E638" s="42"/>
      <c r="F638" s="98"/>
      <c r="G638" s="92"/>
    </row>
    <row r="639" spans="1:7" ht="30" customHeight="1" x14ac:dyDescent="0.35">
      <c r="A639" s="42"/>
      <c r="B639" s="42"/>
      <c r="C639" s="42"/>
      <c r="D639" s="42"/>
      <c r="E639" s="42"/>
      <c r="F639" s="97"/>
      <c r="G639" s="95"/>
    </row>
    <row r="640" spans="1:7" ht="30" customHeight="1" x14ac:dyDescent="0.35">
      <c r="A640" s="42"/>
      <c r="B640" s="42"/>
      <c r="C640" s="42"/>
      <c r="D640" s="42"/>
      <c r="E640" s="42"/>
      <c r="F640" s="98"/>
      <c r="G640" s="92"/>
    </row>
    <row r="641" spans="1:7" ht="30" customHeight="1" x14ac:dyDescent="0.35">
      <c r="A641" s="42"/>
      <c r="B641" s="42"/>
      <c r="C641" s="42"/>
      <c r="D641" s="42"/>
      <c r="E641" s="42"/>
      <c r="F641" s="97"/>
      <c r="G641" s="95"/>
    </row>
    <row r="642" spans="1:7" ht="30" customHeight="1" x14ac:dyDescent="0.35">
      <c r="A642" s="42"/>
      <c r="B642" s="42"/>
      <c r="C642" s="42"/>
      <c r="D642" s="42"/>
      <c r="E642" s="42"/>
      <c r="F642" s="98"/>
      <c r="G642" s="92"/>
    </row>
    <row r="643" spans="1:7" ht="30" customHeight="1" x14ac:dyDescent="0.35">
      <c r="A643" s="42"/>
      <c r="B643" s="42"/>
      <c r="C643" s="42"/>
      <c r="D643" s="42"/>
      <c r="E643" s="42"/>
      <c r="F643" s="97"/>
      <c r="G643" s="95"/>
    </row>
    <row r="644" spans="1:7" ht="30" customHeight="1" x14ac:dyDescent="0.35">
      <c r="A644" s="42"/>
      <c r="B644" s="42"/>
      <c r="C644" s="42"/>
      <c r="D644" s="42"/>
      <c r="E644" s="42"/>
      <c r="F644" s="98"/>
      <c r="G644" s="92"/>
    </row>
    <row r="645" spans="1:7" ht="30" customHeight="1" x14ac:dyDescent="0.35">
      <c r="A645" s="42"/>
      <c r="B645" s="42"/>
      <c r="C645" s="42"/>
      <c r="D645" s="42"/>
      <c r="E645" s="42"/>
      <c r="F645" s="97"/>
      <c r="G645" s="95"/>
    </row>
    <row r="646" spans="1:7" ht="30" customHeight="1" x14ac:dyDescent="0.35">
      <c r="A646" s="42"/>
      <c r="B646" s="42"/>
      <c r="C646" s="42"/>
      <c r="D646" s="42"/>
      <c r="E646" s="42"/>
      <c r="F646" s="98"/>
      <c r="G646" s="92"/>
    </row>
    <row r="647" spans="1:7" ht="30" customHeight="1" x14ac:dyDescent="0.35">
      <c r="A647" s="42"/>
      <c r="B647" s="42"/>
      <c r="C647" s="42"/>
      <c r="D647" s="42"/>
      <c r="E647" s="42"/>
      <c r="F647" s="97"/>
      <c r="G647" s="95"/>
    </row>
    <row r="648" spans="1:7" ht="30" customHeight="1" x14ac:dyDescent="0.35">
      <c r="A648" s="42"/>
      <c r="B648" s="42"/>
      <c r="C648" s="42"/>
      <c r="D648" s="42"/>
      <c r="E648" s="42"/>
      <c r="F648" s="98"/>
      <c r="G648" s="92"/>
    </row>
    <row r="649" spans="1:7" ht="30" customHeight="1" x14ac:dyDescent="0.35">
      <c r="A649" s="42"/>
      <c r="B649" s="42"/>
      <c r="C649" s="42"/>
      <c r="D649" s="42"/>
      <c r="E649" s="42"/>
      <c r="F649" s="97"/>
      <c r="G649" s="95"/>
    </row>
    <row r="650" spans="1:7" ht="30" customHeight="1" x14ac:dyDescent="0.35">
      <c r="A650" s="42"/>
      <c r="B650" s="42"/>
      <c r="C650" s="42"/>
      <c r="D650" s="42"/>
      <c r="E650" s="42"/>
      <c r="F650" s="98"/>
      <c r="G650" s="92"/>
    </row>
    <row r="651" spans="1:7" ht="30" customHeight="1" x14ac:dyDescent="0.35">
      <c r="A651" s="42"/>
      <c r="B651" s="42"/>
      <c r="C651" s="42"/>
      <c r="D651" s="42"/>
      <c r="E651" s="42"/>
      <c r="F651" s="97"/>
      <c r="G651" s="95"/>
    </row>
    <row r="652" spans="1:7" ht="30" customHeight="1" x14ac:dyDescent="0.35">
      <c r="A652" s="42"/>
      <c r="B652" s="42"/>
      <c r="C652" s="42"/>
      <c r="D652" s="42"/>
      <c r="E652" s="42"/>
      <c r="F652" s="98"/>
      <c r="G652" s="92"/>
    </row>
    <row r="653" spans="1:7" ht="30" customHeight="1" x14ac:dyDescent="0.35">
      <c r="A653" s="42"/>
      <c r="B653" s="42"/>
      <c r="C653" s="42"/>
      <c r="D653" s="42"/>
      <c r="E653" s="42"/>
      <c r="F653" s="97"/>
      <c r="G653" s="95"/>
    </row>
    <row r="654" spans="1:7" ht="30" customHeight="1" x14ac:dyDescent="0.35">
      <c r="A654" s="42"/>
      <c r="B654" s="42"/>
      <c r="C654" s="42"/>
      <c r="D654" s="42"/>
      <c r="E654" s="42"/>
      <c r="F654" s="98"/>
      <c r="G654" s="92"/>
    </row>
    <row r="655" spans="1:7" ht="30" customHeight="1" x14ac:dyDescent="0.35">
      <c r="A655" s="42"/>
      <c r="B655" s="42"/>
      <c r="C655" s="42"/>
      <c r="D655" s="42"/>
      <c r="E655" s="42"/>
      <c r="F655" s="97"/>
      <c r="G655" s="95"/>
    </row>
    <row r="656" spans="1:7" ht="30" customHeight="1" x14ac:dyDescent="0.35">
      <c r="A656" s="42"/>
      <c r="B656" s="42"/>
      <c r="C656" s="42"/>
      <c r="D656" s="42"/>
      <c r="E656" s="42"/>
      <c r="F656" s="98"/>
      <c r="G656" s="92"/>
    </row>
    <row r="657" spans="1:7" ht="30" customHeight="1" x14ac:dyDescent="0.35">
      <c r="A657" s="42"/>
      <c r="B657" s="42"/>
      <c r="C657" s="42"/>
      <c r="D657" s="42"/>
      <c r="E657" s="42"/>
      <c r="F657" s="97"/>
      <c r="G657" s="95"/>
    </row>
    <row r="658" spans="1:7" ht="30" customHeight="1" x14ac:dyDescent="0.35">
      <c r="A658" s="42"/>
      <c r="B658" s="42"/>
      <c r="C658" s="42"/>
      <c r="D658" s="42"/>
      <c r="E658" s="42"/>
      <c r="F658" s="98"/>
      <c r="G658" s="92"/>
    </row>
    <row r="659" spans="1:7" ht="30" customHeight="1" x14ac:dyDescent="0.35">
      <c r="A659" s="42"/>
      <c r="B659" s="42"/>
      <c r="C659" s="42"/>
      <c r="D659" s="42"/>
      <c r="E659" s="42"/>
      <c r="F659" s="97"/>
      <c r="G659" s="95"/>
    </row>
    <row r="660" spans="1:7" ht="30" customHeight="1" x14ac:dyDescent="0.35">
      <c r="A660" s="42"/>
      <c r="B660" s="42"/>
      <c r="C660" s="42"/>
      <c r="D660" s="42"/>
      <c r="E660" s="42"/>
      <c r="F660" s="98"/>
      <c r="G660" s="92"/>
    </row>
    <row r="661" spans="1:7" ht="30" customHeight="1" x14ac:dyDescent="0.35">
      <c r="A661" s="42"/>
      <c r="B661" s="42"/>
      <c r="C661" s="42"/>
      <c r="D661" s="42"/>
      <c r="E661" s="42"/>
      <c r="F661" s="97"/>
      <c r="G661" s="95"/>
    </row>
    <row r="662" spans="1:7" ht="30" customHeight="1" x14ac:dyDescent="0.35">
      <c r="A662" s="42"/>
      <c r="B662" s="42"/>
      <c r="C662" s="42"/>
      <c r="D662" s="42"/>
      <c r="E662" s="42"/>
      <c r="F662" s="98"/>
      <c r="G662" s="92"/>
    </row>
    <row r="663" spans="1:7" ht="30" customHeight="1" x14ac:dyDescent="0.35">
      <c r="A663" s="42"/>
      <c r="B663" s="42"/>
      <c r="C663" s="42"/>
      <c r="D663" s="42"/>
      <c r="E663" s="42"/>
      <c r="F663" s="97"/>
      <c r="G663" s="95"/>
    </row>
    <row r="664" spans="1:7" ht="30" customHeight="1" x14ac:dyDescent="0.35">
      <c r="A664" s="42"/>
      <c r="B664" s="42"/>
      <c r="C664" s="42"/>
      <c r="D664" s="42"/>
      <c r="E664" s="42"/>
      <c r="F664" s="98"/>
      <c r="G664" s="92"/>
    </row>
    <row r="665" spans="1:7" ht="30" customHeight="1" x14ac:dyDescent="0.35">
      <c r="A665" s="42"/>
      <c r="B665" s="42"/>
      <c r="C665" s="42"/>
      <c r="D665" s="42"/>
      <c r="E665" s="42"/>
      <c r="F665" s="97"/>
      <c r="G665" s="95"/>
    </row>
    <row r="666" spans="1:7" ht="30" customHeight="1" x14ac:dyDescent="0.35">
      <c r="A666" s="42"/>
      <c r="B666" s="42"/>
      <c r="C666" s="42"/>
      <c r="D666" s="42"/>
      <c r="E666" s="42"/>
      <c r="F666" s="98"/>
      <c r="G666" s="92"/>
    </row>
    <row r="667" spans="1:7" ht="30" customHeight="1" x14ac:dyDescent="0.35">
      <c r="A667" s="42"/>
      <c r="B667" s="42"/>
      <c r="C667" s="42"/>
      <c r="D667" s="42"/>
      <c r="E667" s="42"/>
      <c r="F667" s="97"/>
      <c r="G667" s="95"/>
    </row>
    <row r="668" spans="1:7" ht="30" customHeight="1" x14ac:dyDescent="0.35">
      <c r="A668" s="42"/>
      <c r="B668" s="42"/>
      <c r="C668" s="42"/>
      <c r="D668" s="42"/>
      <c r="E668" s="42"/>
      <c r="F668" s="98"/>
      <c r="G668" s="92"/>
    </row>
    <row r="669" spans="1:7" ht="30" customHeight="1" x14ac:dyDescent="0.35">
      <c r="A669" s="42"/>
      <c r="B669" s="42"/>
      <c r="C669" s="42"/>
      <c r="D669" s="42"/>
      <c r="E669" s="42"/>
      <c r="F669" s="97"/>
      <c r="G669" s="95"/>
    </row>
    <row r="670" spans="1:7" ht="30" customHeight="1" x14ac:dyDescent="0.35">
      <c r="A670" s="42"/>
      <c r="B670" s="42"/>
      <c r="C670" s="42"/>
      <c r="D670" s="42"/>
      <c r="E670" s="42"/>
      <c r="F670" s="98"/>
      <c r="G670" s="92"/>
    </row>
    <row r="671" spans="1:7" ht="30" customHeight="1" x14ac:dyDescent="0.35">
      <c r="A671" s="42"/>
      <c r="B671" s="42"/>
      <c r="C671" s="42"/>
      <c r="D671" s="42"/>
      <c r="E671" s="42"/>
      <c r="F671" s="97"/>
      <c r="G671" s="95"/>
    </row>
    <row r="672" spans="1:7" ht="30" customHeight="1" x14ac:dyDescent="0.35">
      <c r="A672" s="42"/>
      <c r="B672" s="42"/>
      <c r="C672" s="42"/>
      <c r="D672" s="42"/>
      <c r="E672" s="42"/>
      <c r="F672" s="98"/>
      <c r="G672" s="92"/>
    </row>
    <row r="673" spans="1:7" ht="30" customHeight="1" x14ac:dyDescent="0.35">
      <c r="A673" s="42"/>
      <c r="B673" s="42"/>
      <c r="C673" s="42"/>
      <c r="D673" s="42"/>
      <c r="E673" s="42"/>
      <c r="F673" s="97"/>
      <c r="G673" s="95"/>
    </row>
    <row r="674" spans="1:7" ht="30" customHeight="1" x14ac:dyDescent="0.35">
      <c r="A674" s="42"/>
      <c r="B674" s="42"/>
      <c r="C674" s="42"/>
      <c r="D674" s="42"/>
      <c r="E674" s="42"/>
      <c r="F674" s="98"/>
      <c r="G674" s="92"/>
    </row>
    <row r="675" spans="1:7" ht="30" customHeight="1" x14ac:dyDescent="0.35">
      <c r="A675" s="42"/>
      <c r="B675" s="42"/>
      <c r="C675" s="42"/>
      <c r="D675" s="42"/>
      <c r="E675" s="42"/>
      <c r="F675" s="97"/>
      <c r="G675" s="95"/>
    </row>
    <row r="676" spans="1:7" ht="30" customHeight="1" x14ac:dyDescent="0.35">
      <c r="A676" s="42"/>
      <c r="B676" s="42"/>
      <c r="C676" s="42"/>
      <c r="D676" s="42"/>
      <c r="E676" s="42"/>
      <c r="F676" s="98"/>
      <c r="G676" s="92"/>
    </row>
    <row r="677" spans="1:7" ht="30" customHeight="1" x14ac:dyDescent="0.35">
      <c r="A677" s="42"/>
      <c r="B677" s="42"/>
      <c r="C677" s="42"/>
      <c r="D677" s="42"/>
      <c r="E677" s="42"/>
      <c r="F677" s="97"/>
      <c r="G677" s="95"/>
    </row>
    <row r="678" spans="1:7" ht="30" customHeight="1" x14ac:dyDescent="0.35">
      <c r="A678" s="42"/>
      <c r="B678" s="42"/>
      <c r="C678" s="42"/>
      <c r="D678" s="42"/>
      <c r="E678" s="42"/>
      <c r="F678" s="98"/>
      <c r="G678" s="92"/>
    </row>
    <row r="679" spans="1:7" ht="30" customHeight="1" x14ac:dyDescent="0.35">
      <c r="A679" s="42"/>
      <c r="B679" s="42"/>
      <c r="C679" s="42"/>
      <c r="D679" s="42"/>
      <c r="E679" s="42"/>
      <c r="F679" s="97"/>
      <c r="G679" s="95"/>
    </row>
    <row r="680" spans="1:7" ht="30" customHeight="1" x14ac:dyDescent="0.35">
      <c r="A680" s="42"/>
      <c r="B680" s="42"/>
      <c r="C680" s="42"/>
      <c r="D680" s="42"/>
      <c r="E680" s="42"/>
      <c r="F680" s="98"/>
      <c r="G680" s="92"/>
    </row>
    <row r="681" spans="1:7" ht="30" customHeight="1" x14ac:dyDescent="0.35">
      <c r="A681" s="42"/>
      <c r="B681" s="42"/>
      <c r="C681" s="42"/>
      <c r="D681" s="42"/>
      <c r="E681" s="42"/>
      <c r="F681" s="97"/>
      <c r="G681" s="95"/>
    </row>
    <row r="682" spans="1:7" ht="30" customHeight="1" x14ac:dyDescent="0.35">
      <c r="A682" s="42"/>
      <c r="B682" s="42"/>
      <c r="C682" s="42"/>
      <c r="D682" s="42"/>
      <c r="E682" s="42"/>
      <c r="F682" s="98"/>
      <c r="G682" s="92"/>
    </row>
    <row r="683" spans="1:7" ht="30" customHeight="1" x14ac:dyDescent="0.35">
      <c r="A683" s="42"/>
      <c r="B683" s="42"/>
      <c r="C683" s="42"/>
      <c r="D683" s="42"/>
      <c r="E683" s="42"/>
      <c r="F683" s="97"/>
      <c r="G683" s="95"/>
    </row>
    <row r="684" spans="1:7" ht="30" customHeight="1" x14ac:dyDescent="0.35">
      <c r="A684" s="42"/>
      <c r="B684" s="42"/>
      <c r="C684" s="42"/>
      <c r="D684" s="42"/>
      <c r="E684" s="42"/>
      <c r="F684" s="98"/>
      <c r="G684" s="92"/>
    </row>
    <row r="685" spans="1:7" ht="30" customHeight="1" x14ac:dyDescent="0.35">
      <c r="A685" s="42"/>
      <c r="B685" s="42"/>
      <c r="C685" s="42"/>
      <c r="D685" s="42"/>
      <c r="E685" s="42"/>
      <c r="F685" s="97"/>
      <c r="G685" s="95"/>
    </row>
    <row r="686" spans="1:7" ht="30" customHeight="1" x14ac:dyDescent="0.35">
      <c r="A686" s="42"/>
      <c r="B686" s="42"/>
      <c r="C686" s="42"/>
      <c r="D686" s="42"/>
      <c r="E686" s="42"/>
      <c r="F686" s="98"/>
      <c r="G686" s="92"/>
    </row>
    <row r="687" spans="1:7" ht="30" customHeight="1" x14ac:dyDescent="0.35">
      <c r="A687" s="42"/>
      <c r="B687" s="42"/>
      <c r="C687" s="42"/>
      <c r="D687" s="42"/>
      <c r="E687" s="42"/>
      <c r="F687" s="97"/>
      <c r="G687" s="95"/>
    </row>
    <row r="688" spans="1:7" ht="30" customHeight="1" x14ac:dyDescent="0.35">
      <c r="A688" s="42"/>
      <c r="B688" s="42"/>
      <c r="C688" s="42"/>
      <c r="D688" s="42"/>
      <c r="E688" s="42"/>
      <c r="F688" s="98"/>
      <c r="G688" s="92"/>
    </row>
    <row r="689" spans="1:7" ht="30" customHeight="1" x14ac:dyDescent="0.35">
      <c r="A689" s="42"/>
      <c r="B689" s="42"/>
      <c r="C689" s="42"/>
      <c r="D689" s="42"/>
      <c r="E689" s="42"/>
      <c r="F689" s="97"/>
      <c r="G689" s="95"/>
    </row>
    <row r="690" spans="1:7" ht="30" customHeight="1" x14ac:dyDescent="0.35">
      <c r="A690" s="42"/>
      <c r="B690" s="42"/>
      <c r="C690" s="42"/>
      <c r="D690" s="42"/>
      <c r="E690" s="42"/>
      <c r="F690" s="98"/>
      <c r="G690" s="92"/>
    </row>
    <row r="691" spans="1:7" ht="30" customHeight="1" x14ac:dyDescent="0.35">
      <c r="A691" s="42"/>
      <c r="B691" s="42"/>
      <c r="C691" s="42"/>
      <c r="D691" s="42"/>
      <c r="E691" s="42"/>
      <c r="F691" s="97"/>
      <c r="G691" s="95"/>
    </row>
    <row r="692" spans="1:7" ht="30" customHeight="1" x14ac:dyDescent="0.35">
      <c r="A692" s="42"/>
      <c r="B692" s="42"/>
      <c r="C692" s="42"/>
      <c r="D692" s="42"/>
      <c r="E692" s="42"/>
      <c r="F692" s="98"/>
      <c r="G692" s="92"/>
    </row>
    <row r="693" spans="1:7" ht="30" customHeight="1" x14ac:dyDescent="0.35">
      <c r="A693" s="42"/>
      <c r="B693" s="42"/>
      <c r="C693" s="42"/>
      <c r="D693" s="42"/>
      <c r="E693" s="42"/>
      <c r="F693" s="97"/>
      <c r="G693" s="95"/>
    </row>
    <row r="694" spans="1:7" ht="30" customHeight="1" x14ac:dyDescent="0.35">
      <c r="A694" s="42"/>
      <c r="B694" s="42"/>
      <c r="C694" s="42"/>
      <c r="D694" s="42"/>
      <c r="E694" s="42"/>
      <c r="F694" s="98"/>
      <c r="G694" s="92"/>
    </row>
    <row r="695" spans="1:7" ht="30" customHeight="1" x14ac:dyDescent="0.35">
      <c r="A695" s="42"/>
      <c r="B695" s="42"/>
      <c r="C695" s="42"/>
      <c r="D695" s="42"/>
      <c r="E695" s="42"/>
      <c r="F695" s="97"/>
      <c r="G695" s="95"/>
    </row>
    <row r="696" spans="1:7" ht="30" customHeight="1" x14ac:dyDescent="0.35">
      <c r="A696" s="42"/>
      <c r="B696" s="42"/>
      <c r="C696" s="42"/>
      <c r="D696" s="42"/>
      <c r="E696" s="42"/>
      <c r="F696" s="98"/>
      <c r="G696" s="92"/>
    </row>
    <row r="697" spans="1:7" ht="30" customHeight="1" x14ac:dyDescent="0.35">
      <c r="A697" s="42"/>
      <c r="B697" s="42"/>
      <c r="C697" s="42"/>
      <c r="D697" s="42"/>
      <c r="E697" s="42"/>
      <c r="F697" s="97"/>
      <c r="G697" s="95"/>
    </row>
    <row r="698" spans="1:7" ht="30" customHeight="1" x14ac:dyDescent="0.35">
      <c r="A698" s="42"/>
      <c r="B698" s="42"/>
      <c r="C698" s="42"/>
      <c r="D698" s="42"/>
      <c r="E698" s="42"/>
      <c r="F698" s="98"/>
      <c r="G698" s="92"/>
    </row>
    <row r="699" spans="1:7" ht="30" customHeight="1" x14ac:dyDescent="0.35">
      <c r="A699" s="42"/>
      <c r="B699" s="42"/>
      <c r="C699" s="42"/>
      <c r="D699" s="42"/>
      <c r="E699" s="42"/>
      <c r="F699" s="97"/>
      <c r="G699" s="95"/>
    </row>
    <row r="700" spans="1:7" ht="30" customHeight="1" x14ac:dyDescent="0.35">
      <c r="A700" s="42"/>
      <c r="B700" s="42"/>
      <c r="C700" s="42"/>
      <c r="D700" s="42"/>
      <c r="E700" s="42"/>
      <c r="F700" s="98"/>
      <c r="G700" s="92"/>
    </row>
    <row r="701" spans="1:7" ht="30" customHeight="1" x14ac:dyDescent="0.35">
      <c r="A701" s="42"/>
      <c r="B701" s="42"/>
      <c r="C701" s="42"/>
      <c r="D701" s="42"/>
      <c r="E701" s="42"/>
      <c r="F701" s="97"/>
      <c r="G701" s="95"/>
    </row>
    <row r="702" spans="1:7" ht="30" customHeight="1" x14ac:dyDescent="0.35">
      <c r="A702" s="42"/>
      <c r="B702" s="42"/>
      <c r="C702" s="42"/>
      <c r="D702" s="42"/>
      <c r="E702" s="42"/>
      <c r="F702" s="98"/>
      <c r="G702" s="92"/>
    </row>
    <row r="703" spans="1:7" ht="30" customHeight="1" x14ac:dyDescent="0.35">
      <c r="A703" s="42"/>
      <c r="B703" s="42"/>
      <c r="C703" s="42"/>
      <c r="D703" s="42"/>
      <c r="E703" s="42"/>
      <c r="F703" s="97"/>
      <c r="G703" s="95"/>
    </row>
    <row r="704" spans="1:7" ht="30" customHeight="1" x14ac:dyDescent="0.35">
      <c r="A704" s="42"/>
      <c r="B704" s="42"/>
      <c r="C704" s="42"/>
      <c r="D704" s="42"/>
      <c r="E704" s="42"/>
      <c r="F704" s="98"/>
      <c r="G704" s="92"/>
    </row>
    <row r="705" spans="1:7" ht="30" customHeight="1" x14ac:dyDescent="0.35">
      <c r="A705" s="42"/>
      <c r="B705" s="42"/>
      <c r="C705" s="42"/>
      <c r="D705" s="42"/>
      <c r="E705" s="42"/>
      <c r="F705" s="97"/>
      <c r="G705" s="95"/>
    </row>
    <row r="706" spans="1:7" ht="30" customHeight="1" x14ac:dyDescent="0.35">
      <c r="A706" s="42"/>
      <c r="B706" s="42"/>
      <c r="C706" s="42"/>
      <c r="D706" s="42"/>
      <c r="E706" s="42"/>
      <c r="F706" s="98"/>
      <c r="G706" s="92"/>
    </row>
    <row r="707" spans="1:7" ht="30" customHeight="1" x14ac:dyDescent="0.35">
      <c r="A707" s="42"/>
      <c r="B707" s="42"/>
      <c r="C707" s="42"/>
      <c r="D707" s="42"/>
      <c r="E707" s="42"/>
      <c r="F707" s="97"/>
      <c r="G707" s="95"/>
    </row>
    <row r="708" spans="1:7" ht="30" customHeight="1" x14ac:dyDescent="0.35">
      <c r="A708" s="42"/>
      <c r="B708" s="42"/>
      <c r="C708" s="42"/>
      <c r="D708" s="42"/>
      <c r="E708" s="42"/>
      <c r="F708" s="98"/>
      <c r="G708" s="92"/>
    </row>
    <row r="709" spans="1:7" ht="30" customHeight="1" x14ac:dyDescent="0.35">
      <c r="A709" s="42"/>
      <c r="B709" s="42"/>
      <c r="C709" s="42"/>
      <c r="D709" s="42"/>
      <c r="E709" s="42"/>
      <c r="F709" s="97"/>
      <c r="G709" s="95"/>
    </row>
    <row r="710" spans="1:7" ht="30" customHeight="1" x14ac:dyDescent="0.35">
      <c r="A710" s="42"/>
      <c r="B710" s="42"/>
      <c r="C710" s="42"/>
      <c r="D710" s="42"/>
      <c r="E710" s="42"/>
      <c r="F710" s="98"/>
      <c r="G710" s="92"/>
    </row>
    <row r="711" spans="1:7" ht="30" customHeight="1" x14ac:dyDescent="0.35">
      <c r="A711" s="42"/>
      <c r="B711" s="42"/>
      <c r="C711" s="42"/>
      <c r="D711" s="42"/>
      <c r="E711" s="42"/>
      <c r="F711" s="97"/>
      <c r="G711" s="95"/>
    </row>
    <row r="712" spans="1:7" ht="30" customHeight="1" x14ac:dyDescent="0.35">
      <c r="A712" s="42"/>
      <c r="B712" s="42"/>
      <c r="C712" s="42"/>
      <c r="D712" s="42"/>
      <c r="E712" s="42"/>
      <c r="F712" s="98"/>
      <c r="G712" s="92"/>
    </row>
    <row r="713" spans="1:7" ht="30" customHeight="1" x14ac:dyDescent="0.35">
      <c r="A713" s="42"/>
      <c r="B713" s="42"/>
      <c r="C713" s="42"/>
      <c r="D713" s="42"/>
      <c r="E713" s="42"/>
      <c r="F713" s="97"/>
      <c r="G713" s="95"/>
    </row>
    <row r="714" spans="1:7" ht="30" customHeight="1" x14ac:dyDescent="0.35">
      <c r="A714" s="42"/>
      <c r="B714" s="42"/>
      <c r="C714" s="42"/>
      <c r="D714" s="42"/>
      <c r="E714" s="42"/>
      <c r="F714" s="98"/>
      <c r="G714" s="92"/>
    </row>
    <row r="715" spans="1:7" ht="30" customHeight="1" x14ac:dyDescent="0.35">
      <c r="A715" s="42"/>
      <c r="B715" s="42"/>
      <c r="C715" s="42"/>
      <c r="D715" s="42"/>
      <c r="E715" s="42"/>
      <c r="F715" s="97"/>
      <c r="G715" s="95"/>
    </row>
    <row r="716" spans="1:7" ht="30" customHeight="1" x14ac:dyDescent="0.35">
      <c r="A716" s="42"/>
      <c r="B716" s="42"/>
      <c r="C716" s="42"/>
      <c r="D716" s="42"/>
      <c r="E716" s="42"/>
      <c r="F716" s="98"/>
      <c r="G716" s="92"/>
    </row>
    <row r="717" spans="1:7" ht="30" customHeight="1" x14ac:dyDescent="0.35">
      <c r="A717" s="42"/>
      <c r="B717" s="42"/>
      <c r="C717" s="42"/>
      <c r="D717" s="42"/>
      <c r="E717" s="42"/>
      <c r="F717" s="97"/>
      <c r="G717" s="95"/>
    </row>
    <row r="718" spans="1:7" ht="30" customHeight="1" x14ac:dyDescent="0.35">
      <c r="A718" s="42"/>
      <c r="B718" s="42"/>
      <c r="C718" s="42"/>
      <c r="D718" s="42"/>
      <c r="E718" s="42"/>
      <c r="F718" s="98"/>
      <c r="G718" s="92"/>
    </row>
    <row r="719" spans="1:7" ht="30" customHeight="1" x14ac:dyDescent="0.35">
      <c r="A719" s="42"/>
      <c r="B719" s="42"/>
      <c r="C719" s="42"/>
      <c r="D719" s="42"/>
      <c r="E719" s="42"/>
      <c r="F719" s="97"/>
      <c r="G719" s="95"/>
    </row>
    <row r="720" spans="1:7" ht="30" customHeight="1" x14ac:dyDescent="0.35">
      <c r="A720" s="42"/>
      <c r="B720" s="42"/>
      <c r="C720" s="42"/>
      <c r="D720" s="42"/>
      <c r="E720" s="42"/>
      <c r="F720" s="98"/>
      <c r="G720" s="92"/>
    </row>
    <row r="721" spans="1:7" ht="30" customHeight="1" x14ac:dyDescent="0.35">
      <c r="A721" s="42"/>
      <c r="B721" s="42"/>
      <c r="C721" s="42"/>
      <c r="D721" s="42"/>
      <c r="E721" s="42"/>
      <c r="F721" s="97"/>
      <c r="G721" s="95"/>
    </row>
    <row r="722" spans="1:7" ht="30" customHeight="1" x14ac:dyDescent="0.35">
      <c r="A722" s="42"/>
      <c r="B722" s="42"/>
      <c r="C722" s="42"/>
      <c r="D722" s="42"/>
      <c r="E722" s="42"/>
      <c r="F722" s="98"/>
      <c r="G722" s="92"/>
    </row>
    <row r="723" spans="1:7" ht="30" customHeight="1" x14ac:dyDescent="0.35">
      <c r="A723" s="42"/>
      <c r="B723" s="42"/>
      <c r="C723" s="42"/>
      <c r="D723" s="42"/>
      <c r="E723" s="42"/>
      <c r="F723" s="97"/>
      <c r="G723" s="95"/>
    </row>
    <row r="724" spans="1:7" ht="30" customHeight="1" x14ac:dyDescent="0.35">
      <c r="A724" s="42"/>
      <c r="B724" s="42"/>
      <c r="C724" s="42"/>
      <c r="D724" s="42"/>
      <c r="E724" s="42"/>
      <c r="F724" s="98"/>
      <c r="G724" s="92"/>
    </row>
    <row r="725" spans="1:7" ht="30" customHeight="1" x14ac:dyDescent="0.35">
      <c r="A725" s="42"/>
      <c r="B725" s="42"/>
      <c r="C725" s="42"/>
      <c r="D725" s="42"/>
      <c r="E725" s="42"/>
      <c r="F725" s="97"/>
      <c r="G725" s="95"/>
    </row>
    <row r="726" spans="1:7" ht="30" customHeight="1" x14ac:dyDescent="0.35">
      <c r="A726" s="42"/>
      <c r="B726" s="42"/>
      <c r="C726" s="42"/>
      <c r="D726" s="42"/>
      <c r="E726" s="42"/>
      <c r="F726" s="98"/>
      <c r="G726" s="92"/>
    </row>
    <row r="727" spans="1:7" ht="30" customHeight="1" x14ac:dyDescent="0.35">
      <c r="A727" s="42"/>
      <c r="B727" s="42"/>
      <c r="C727" s="42"/>
      <c r="D727" s="42"/>
      <c r="E727" s="42"/>
      <c r="F727" s="97"/>
      <c r="G727" s="95"/>
    </row>
    <row r="728" spans="1:7" ht="30" customHeight="1" x14ac:dyDescent="0.35">
      <c r="A728" s="42"/>
      <c r="B728" s="42"/>
      <c r="C728" s="42"/>
      <c r="D728" s="42"/>
      <c r="E728" s="42"/>
      <c r="F728" s="98"/>
      <c r="G728" s="92"/>
    </row>
    <row r="729" spans="1:7" ht="30" customHeight="1" x14ac:dyDescent="0.35">
      <c r="A729" s="42"/>
      <c r="B729" s="42"/>
      <c r="C729" s="42"/>
      <c r="D729" s="42"/>
      <c r="E729" s="42"/>
      <c r="F729" s="97"/>
      <c r="G729" s="95"/>
    </row>
    <row r="730" spans="1:7" ht="30" customHeight="1" x14ac:dyDescent="0.35">
      <c r="A730" s="42"/>
      <c r="B730" s="42"/>
      <c r="C730" s="42"/>
      <c r="D730" s="42"/>
      <c r="E730" s="42"/>
      <c r="F730" s="98"/>
      <c r="G730" s="92"/>
    </row>
    <row r="731" spans="1:7" ht="30" customHeight="1" x14ac:dyDescent="0.35">
      <c r="A731" s="42"/>
      <c r="B731" s="42"/>
      <c r="C731" s="42"/>
      <c r="D731" s="42"/>
      <c r="E731" s="42"/>
      <c r="F731" s="97"/>
      <c r="G731" s="95"/>
    </row>
    <row r="732" spans="1:7" ht="30" customHeight="1" x14ac:dyDescent="0.35">
      <c r="A732" s="42"/>
      <c r="B732" s="42"/>
      <c r="C732" s="42"/>
      <c r="D732" s="42"/>
      <c r="E732" s="42"/>
      <c r="F732" s="98"/>
      <c r="G732" s="92"/>
    </row>
    <row r="733" spans="1:7" ht="30" customHeight="1" x14ac:dyDescent="0.35">
      <c r="A733" s="42"/>
      <c r="B733" s="42"/>
      <c r="C733" s="42"/>
      <c r="D733" s="42"/>
      <c r="E733" s="42"/>
      <c r="F733" s="97"/>
      <c r="G733" s="95"/>
    </row>
    <row r="734" spans="1:7" ht="30" customHeight="1" x14ac:dyDescent="0.35">
      <c r="A734" s="42"/>
      <c r="B734" s="42"/>
      <c r="C734" s="42"/>
      <c r="D734" s="42"/>
      <c r="E734" s="42"/>
      <c r="F734" s="98"/>
      <c r="G734" s="92"/>
    </row>
    <row r="735" spans="1:7" ht="30" customHeight="1" x14ac:dyDescent="0.35">
      <c r="A735" s="42"/>
      <c r="B735" s="42"/>
      <c r="C735" s="42"/>
      <c r="D735" s="42"/>
      <c r="E735" s="42"/>
      <c r="F735" s="97"/>
      <c r="G735" s="95"/>
    </row>
    <row r="736" spans="1:7" ht="30" customHeight="1" x14ac:dyDescent="0.35">
      <c r="A736" s="42"/>
      <c r="B736" s="42"/>
      <c r="C736" s="42"/>
      <c r="D736" s="42"/>
      <c r="E736" s="42"/>
      <c r="F736" s="98"/>
      <c r="G736" s="92"/>
    </row>
    <row r="737" spans="1:7" ht="30" customHeight="1" x14ac:dyDescent="0.35">
      <c r="A737" s="42"/>
      <c r="B737" s="42"/>
      <c r="C737" s="42"/>
      <c r="D737" s="42"/>
      <c r="E737" s="42"/>
      <c r="F737" s="97"/>
      <c r="G737" s="95"/>
    </row>
    <row r="738" spans="1:7" ht="30" customHeight="1" x14ac:dyDescent="0.35">
      <c r="A738" s="42"/>
      <c r="B738" s="42"/>
      <c r="C738" s="42"/>
      <c r="D738" s="42"/>
      <c r="E738" s="42"/>
      <c r="F738" s="98"/>
      <c r="G738" s="92"/>
    </row>
    <row r="739" spans="1:7" ht="30" customHeight="1" x14ac:dyDescent="0.35">
      <c r="A739" s="42"/>
      <c r="B739" s="42"/>
      <c r="C739" s="42"/>
      <c r="D739" s="42"/>
      <c r="E739" s="42"/>
      <c r="F739" s="97"/>
      <c r="G739" s="95"/>
    </row>
    <row r="740" spans="1:7" ht="30" customHeight="1" x14ac:dyDescent="0.35">
      <c r="A740" s="42"/>
      <c r="B740" s="42"/>
      <c r="C740" s="42"/>
      <c r="D740" s="42"/>
      <c r="E740" s="42"/>
      <c r="F740" s="98"/>
      <c r="G740" s="92"/>
    </row>
    <row r="741" spans="1:7" ht="30" customHeight="1" x14ac:dyDescent="0.35">
      <c r="A741" s="42"/>
      <c r="B741" s="42"/>
      <c r="C741" s="42"/>
      <c r="D741" s="42"/>
      <c r="E741" s="42"/>
      <c r="F741" s="97"/>
      <c r="G741" s="95"/>
    </row>
    <row r="742" spans="1:7" ht="30" customHeight="1" x14ac:dyDescent="0.35">
      <c r="A742" s="42"/>
      <c r="B742" s="42"/>
      <c r="C742" s="42"/>
      <c r="D742" s="42"/>
      <c r="E742" s="42"/>
      <c r="F742" s="98"/>
      <c r="G742" s="92"/>
    </row>
    <row r="743" spans="1:7" ht="30" customHeight="1" x14ac:dyDescent="0.35">
      <c r="A743" s="42"/>
      <c r="B743" s="42"/>
      <c r="C743" s="42"/>
      <c r="D743" s="42"/>
      <c r="E743" s="42"/>
      <c r="F743" s="99"/>
      <c r="G743" s="100"/>
    </row>
    <row r="744" spans="1:7" ht="30" customHeight="1" x14ac:dyDescent="0.35">
      <c r="A744" s="42"/>
      <c r="B744" s="42"/>
      <c r="C744" s="42"/>
      <c r="D744" s="42"/>
      <c r="E744" s="42"/>
    </row>
    <row r="745" spans="1:7" ht="30" customHeight="1" x14ac:dyDescent="0.35">
      <c r="A745" s="42"/>
      <c r="B745" s="42"/>
      <c r="C745" s="42"/>
      <c r="D745" s="42"/>
      <c r="E745" s="42"/>
    </row>
    <row r="746" spans="1:7" ht="30" customHeight="1" x14ac:dyDescent="0.35">
      <c r="A746" s="42"/>
      <c r="B746" s="42"/>
      <c r="C746" s="42"/>
      <c r="D746" s="42"/>
      <c r="E746" s="42"/>
      <c r="G746" s="101"/>
    </row>
  </sheetData>
  <mergeCells count="34">
    <mergeCell ref="B33:G33"/>
    <mergeCell ref="E5:F5"/>
    <mergeCell ref="B7:G7"/>
    <mergeCell ref="B10:E10"/>
    <mergeCell ref="B12:G12"/>
    <mergeCell ref="B16:E16"/>
    <mergeCell ref="B19:D19"/>
    <mergeCell ref="E19:G19"/>
    <mergeCell ref="D20:G20"/>
    <mergeCell ref="B21:E21"/>
    <mergeCell ref="D23:F23"/>
    <mergeCell ref="F25:G25"/>
    <mergeCell ref="E31:F31"/>
    <mergeCell ref="B130:E130"/>
    <mergeCell ref="D132:F133"/>
    <mergeCell ref="F134:G134"/>
    <mergeCell ref="E140:F140"/>
    <mergeCell ref="B142:G142"/>
    <mergeCell ref="B57:E57"/>
    <mergeCell ref="D210:F211"/>
    <mergeCell ref="F212:G212"/>
    <mergeCell ref="B199:G199"/>
    <mergeCell ref="B203:E203"/>
    <mergeCell ref="B206:D206"/>
    <mergeCell ref="E206:G206"/>
    <mergeCell ref="D207:G207"/>
    <mergeCell ref="B208:E208"/>
    <mergeCell ref="B197:E197"/>
    <mergeCell ref="B119:E119"/>
    <mergeCell ref="B121:G121"/>
    <mergeCell ref="B125:E125"/>
    <mergeCell ref="B128:D128"/>
    <mergeCell ref="E128:G128"/>
    <mergeCell ref="D129:G129"/>
  </mergeCells>
  <conditionalFormatting sqref="E220:E386">
    <cfRule type="duplicateValues" dxfId="5" priority="6"/>
  </conditionalFormatting>
  <conditionalFormatting sqref="D219:E386">
    <cfRule type="duplicateValues" dxfId="4" priority="5"/>
  </conditionalFormatting>
  <conditionalFormatting sqref="B144:B192">
    <cfRule type="duplicateValues" dxfId="3" priority="4"/>
  </conditionalFormatting>
  <conditionalFormatting sqref="B193">
    <cfRule type="duplicateValues" dxfId="2" priority="3"/>
  </conditionalFormatting>
  <conditionalFormatting sqref="B194">
    <cfRule type="duplicateValues" dxfId="1" priority="2"/>
  </conditionalFormatting>
  <conditionalFormatting sqref="B195:B196">
    <cfRule type="duplicateValues" dxfId="0" priority="1"/>
  </conditionalFormatting>
  <dataValidations count="2">
    <dataValidation type="list" allowBlank="1" showInputMessage="1" sqref="D15 D144:D196 D9 D35:D56 D58:D118">
      <formula1>$B$385:$B$846</formula1>
    </dataValidation>
    <dataValidation allowBlank="1" showInputMessage="1" sqref="F710"/>
  </dataValidations>
  <pageMargins left="0.5" right="0.5" top="0.5" bottom="0.5" header="0" footer="0"/>
  <pageSetup scale="2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33"/>
  <sheetViews>
    <sheetView showZeros="0" topLeftCell="A4" workbookViewId="0">
      <selection activeCell="V7" sqref="V7"/>
    </sheetView>
  </sheetViews>
  <sheetFormatPr defaultRowHeight="14.5" x14ac:dyDescent="0.35"/>
  <cols>
    <col min="2" max="2" width="8" customWidth="1"/>
    <col min="3" max="3" width="11.81640625" bestFit="1" customWidth="1"/>
    <col min="4" max="4" width="10.7265625" customWidth="1"/>
    <col min="5" max="6" width="13.26953125" customWidth="1"/>
    <col min="7" max="7" width="15.453125" customWidth="1"/>
    <col min="8" max="31" width="10.7265625" customWidth="1"/>
    <col min="32" max="32" width="15.7265625" bestFit="1" customWidth="1"/>
  </cols>
  <sheetData>
    <row r="1" spans="2:32" s="1" customFormat="1" ht="15" thickBot="1" x14ac:dyDescent="0.35"/>
    <row r="2" spans="2:32" s="1" customFormat="1" ht="20.149999999999999" customHeight="1" thickTop="1" x14ac:dyDescent="0.3">
      <c r="B2" s="133" t="s">
        <v>0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5"/>
    </row>
    <row r="3" spans="2:32" s="1" customFormat="1" ht="20.149999999999999" customHeight="1" x14ac:dyDescent="0.3">
      <c r="B3" s="136" t="s">
        <v>36</v>
      </c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8"/>
    </row>
    <row r="4" spans="2:32" s="1" customFormat="1" ht="20.149999999999999" customHeight="1" x14ac:dyDescent="0.3">
      <c r="B4" s="136" t="s">
        <v>35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8"/>
    </row>
    <row r="5" spans="2:32" s="2" customFormat="1" ht="34.5" x14ac:dyDescent="0.25">
      <c r="B5" s="29" t="s">
        <v>4</v>
      </c>
      <c r="C5" s="30" t="s">
        <v>5</v>
      </c>
      <c r="D5" s="30" t="s">
        <v>6</v>
      </c>
      <c r="E5" s="30" t="s">
        <v>7</v>
      </c>
      <c r="F5" s="30" t="s">
        <v>8</v>
      </c>
      <c r="G5" s="30" t="s">
        <v>9</v>
      </c>
      <c r="H5" s="30" t="s">
        <v>10</v>
      </c>
      <c r="I5" s="30" t="s">
        <v>11</v>
      </c>
      <c r="J5" s="30" t="s">
        <v>12</v>
      </c>
      <c r="K5" s="30" t="s">
        <v>13</v>
      </c>
      <c r="L5" s="30" t="s">
        <v>14</v>
      </c>
      <c r="M5" s="30" t="s">
        <v>15</v>
      </c>
      <c r="N5" s="30" t="s">
        <v>16</v>
      </c>
      <c r="O5" s="30" t="s">
        <v>17</v>
      </c>
      <c r="P5" s="30" t="s">
        <v>18</v>
      </c>
      <c r="Q5" s="30" t="s">
        <v>19</v>
      </c>
      <c r="R5" s="30" t="s">
        <v>20</v>
      </c>
      <c r="S5" s="30" t="s">
        <v>21</v>
      </c>
      <c r="T5" s="30" t="s">
        <v>22</v>
      </c>
      <c r="U5" s="30" t="s">
        <v>23</v>
      </c>
      <c r="V5" s="30" t="s">
        <v>24</v>
      </c>
      <c r="W5" s="30" t="s">
        <v>25</v>
      </c>
      <c r="X5" s="30" t="s">
        <v>26</v>
      </c>
      <c r="Y5" s="30" t="s">
        <v>27</v>
      </c>
      <c r="Z5" s="30" t="s">
        <v>28</v>
      </c>
      <c r="AA5" s="30" t="s">
        <v>29</v>
      </c>
      <c r="AB5" s="30" t="s">
        <v>30</v>
      </c>
      <c r="AC5" s="30" t="s">
        <v>31</v>
      </c>
      <c r="AD5" s="30" t="s">
        <v>32</v>
      </c>
      <c r="AE5" s="30" t="s">
        <v>33</v>
      </c>
      <c r="AF5" s="31" t="s">
        <v>34</v>
      </c>
    </row>
    <row r="6" spans="2:32" ht="20.149999999999999" customHeight="1" x14ac:dyDescent="0.35">
      <c r="B6" s="32"/>
      <c r="C6" s="3"/>
      <c r="D6" s="4"/>
      <c r="E6" s="4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3"/>
    </row>
    <row r="7" spans="2:32" ht="20.149999999999999" customHeight="1" x14ac:dyDescent="0.35">
      <c r="B7" s="32"/>
      <c r="C7" s="3"/>
      <c r="D7" s="4"/>
      <c r="E7" s="4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3"/>
    </row>
    <row r="8" spans="2:32" ht="20.149999999999999" customHeight="1" x14ac:dyDescent="0.35">
      <c r="B8" s="32"/>
      <c r="C8" s="3"/>
      <c r="D8" s="4"/>
      <c r="E8" s="4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>
        <v>500000</v>
      </c>
      <c r="Y8" s="4"/>
      <c r="Z8" s="4"/>
      <c r="AA8" s="4"/>
      <c r="AB8" s="4"/>
      <c r="AC8" s="4"/>
      <c r="AD8" s="4"/>
      <c r="AE8" s="4"/>
      <c r="AF8" s="34"/>
    </row>
    <row r="9" spans="2:32" ht="20.149999999999999" customHeight="1" x14ac:dyDescent="0.35">
      <c r="B9" s="32"/>
      <c r="C9" s="3"/>
      <c r="D9" s="4"/>
      <c r="E9" s="4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34"/>
    </row>
    <row r="10" spans="2:32" ht="20.149999999999999" customHeight="1" x14ac:dyDescent="0.35">
      <c r="B10" s="32"/>
      <c r="C10" s="3"/>
      <c r="D10" s="4"/>
      <c r="E10" s="4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3"/>
      <c r="T10" s="3"/>
      <c r="U10" s="3"/>
      <c r="V10" s="3"/>
      <c r="W10" s="3"/>
      <c r="X10" s="3"/>
      <c r="Y10" s="3">
        <v>10000</v>
      </c>
      <c r="Z10" s="3"/>
      <c r="AA10" s="3"/>
      <c r="AB10" s="3"/>
      <c r="AC10" s="3"/>
      <c r="AD10" s="3"/>
      <c r="AE10" s="3"/>
      <c r="AF10" s="33"/>
    </row>
    <row r="11" spans="2:32" ht="20.149999999999999" customHeight="1" x14ac:dyDescent="0.35">
      <c r="B11" s="32"/>
      <c r="C11" s="3"/>
      <c r="D11" s="4"/>
      <c r="E11" s="4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3"/>
    </row>
    <row r="12" spans="2:32" ht="20.149999999999999" customHeight="1" x14ac:dyDescent="0.35">
      <c r="B12" s="32"/>
      <c r="C12" s="3"/>
      <c r="D12" s="4"/>
      <c r="E12" s="4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3"/>
    </row>
    <row r="13" spans="2:32" ht="20.149999999999999" customHeight="1" x14ac:dyDescent="0.35">
      <c r="B13" s="32"/>
      <c r="C13" s="3"/>
      <c r="D13" s="4"/>
      <c r="E13" s="4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3"/>
    </row>
    <row r="14" spans="2:32" ht="20.149999999999999" customHeight="1" x14ac:dyDescent="0.35">
      <c r="B14" s="32"/>
      <c r="C14" s="3"/>
      <c r="D14" s="4"/>
      <c r="E14" s="4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3"/>
    </row>
    <row r="15" spans="2:32" ht="20.149999999999999" customHeight="1" x14ac:dyDescent="0.35">
      <c r="B15" s="32"/>
      <c r="C15" s="3"/>
      <c r="D15" s="4"/>
      <c r="E15" s="4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3"/>
    </row>
    <row r="16" spans="2:32" ht="20.149999999999999" customHeight="1" x14ac:dyDescent="0.35">
      <c r="B16" s="32"/>
      <c r="C16" s="3"/>
      <c r="D16" s="4"/>
      <c r="E16" s="4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3"/>
    </row>
    <row r="17" spans="1:75" ht="20.149999999999999" customHeight="1" x14ac:dyDescent="0.35">
      <c r="B17" s="32"/>
      <c r="C17" s="3"/>
      <c r="D17" s="4"/>
      <c r="E17" s="4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34"/>
    </row>
    <row r="18" spans="1:75" ht="20.149999999999999" customHeight="1" x14ac:dyDescent="0.35">
      <c r="B18" s="32"/>
      <c r="C18" s="3"/>
      <c r="D18" s="4"/>
      <c r="E18" s="4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3"/>
    </row>
    <row r="19" spans="1:75" x14ac:dyDescent="0.35">
      <c r="B19" s="35"/>
      <c r="C19" s="5" t="s">
        <v>1</v>
      </c>
      <c r="D19" s="6">
        <f>SUM(D6:D18)</f>
        <v>0</v>
      </c>
      <c r="E19" s="6">
        <f t="shared" ref="E19:K19" si="0">SUM(E6:E18)</f>
        <v>0</v>
      </c>
      <c r="F19" s="6">
        <f t="shared" si="0"/>
        <v>0</v>
      </c>
      <c r="G19" s="6">
        <f t="shared" si="0"/>
        <v>0</v>
      </c>
      <c r="H19" s="6">
        <f t="shared" si="0"/>
        <v>0</v>
      </c>
      <c r="I19" s="6">
        <f t="shared" si="0"/>
        <v>0</v>
      </c>
      <c r="J19" s="6">
        <f t="shared" si="0"/>
        <v>0</v>
      </c>
      <c r="K19" s="6">
        <f t="shared" si="0"/>
        <v>0</v>
      </c>
      <c r="L19" s="6">
        <f>SUM(L6:L18)</f>
        <v>0</v>
      </c>
      <c r="M19" s="6">
        <f t="shared" ref="M19:AF19" si="1">SUM(M6:M18)</f>
        <v>0</v>
      </c>
      <c r="N19" s="6">
        <f t="shared" si="1"/>
        <v>0</v>
      </c>
      <c r="O19" s="6">
        <f t="shared" si="1"/>
        <v>0</v>
      </c>
      <c r="P19" s="6">
        <f t="shared" si="1"/>
        <v>0</v>
      </c>
      <c r="Q19" s="6">
        <f t="shared" si="1"/>
        <v>0</v>
      </c>
      <c r="R19" s="6">
        <f t="shared" si="1"/>
        <v>0</v>
      </c>
      <c r="S19" s="6">
        <f t="shared" si="1"/>
        <v>0</v>
      </c>
      <c r="T19" s="6">
        <f t="shared" si="1"/>
        <v>0</v>
      </c>
      <c r="U19" s="6">
        <f t="shared" si="1"/>
        <v>0</v>
      </c>
      <c r="V19" s="6">
        <f t="shared" si="1"/>
        <v>0</v>
      </c>
      <c r="W19" s="6">
        <f t="shared" si="1"/>
        <v>0</v>
      </c>
      <c r="X19" s="6">
        <f t="shared" si="1"/>
        <v>500000</v>
      </c>
      <c r="Y19" s="6">
        <f t="shared" si="1"/>
        <v>10000</v>
      </c>
      <c r="Z19" s="6">
        <f t="shared" si="1"/>
        <v>0</v>
      </c>
      <c r="AA19" s="6">
        <f t="shared" si="1"/>
        <v>0</v>
      </c>
      <c r="AB19" s="6">
        <f t="shared" si="1"/>
        <v>0</v>
      </c>
      <c r="AC19" s="6">
        <f t="shared" si="1"/>
        <v>0</v>
      </c>
      <c r="AD19" s="6">
        <f t="shared" si="1"/>
        <v>0</v>
      </c>
      <c r="AE19" s="6">
        <f t="shared" si="1"/>
        <v>0</v>
      </c>
      <c r="AF19" s="36">
        <f t="shared" si="1"/>
        <v>0</v>
      </c>
    </row>
    <row r="20" spans="1:75" ht="15" thickBot="1" x14ac:dyDescent="0.4"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9"/>
    </row>
    <row r="21" spans="1:75" ht="15" thickTop="1" x14ac:dyDescent="0.35"/>
    <row r="22" spans="1:75" x14ac:dyDescent="0.35">
      <c r="D22" t="s">
        <v>2</v>
      </c>
    </row>
    <row r="24" spans="1:75" x14ac:dyDescent="0.35">
      <c r="N24" t="s">
        <v>3</v>
      </c>
    </row>
    <row r="25" spans="1:75" ht="15" thickBot="1" x14ac:dyDescent="0.4"/>
    <row r="26" spans="1:75" ht="15" thickTop="1" x14ac:dyDescent="0.35">
      <c r="E26" s="130" t="s">
        <v>42</v>
      </c>
      <c r="F26" s="131"/>
      <c r="G26" s="132"/>
    </row>
    <row r="27" spans="1:75" x14ac:dyDescent="0.35">
      <c r="E27" s="18" t="s">
        <v>37</v>
      </c>
      <c r="F27" s="19" t="s">
        <v>38</v>
      </c>
      <c r="G27" s="20" t="s">
        <v>39</v>
      </c>
    </row>
    <row r="28" spans="1:75" s="7" customFormat="1" ht="18" customHeight="1" x14ac:dyDescent="0.35">
      <c r="E28" s="21" t="s">
        <v>40</v>
      </c>
      <c r="F28" s="22">
        <f>X19</f>
        <v>500000</v>
      </c>
      <c r="G28" s="23"/>
      <c r="J28" s="8"/>
      <c r="M28" s="9"/>
      <c r="AO28" s="10"/>
      <c r="AU28" s="8"/>
      <c r="AV28" s="8"/>
      <c r="BA28" s="11"/>
      <c r="BB28" s="11"/>
      <c r="BE28" s="11"/>
      <c r="BF28" s="10"/>
      <c r="BG28" s="12"/>
      <c r="BH28" s="10"/>
      <c r="BI28" s="10"/>
      <c r="BJ28" s="10"/>
      <c r="BK28" s="10"/>
      <c r="BL28" s="13"/>
      <c r="BM28" s="13"/>
      <c r="BN28" s="13"/>
      <c r="BO28" s="14"/>
      <c r="BP28" s="15"/>
      <c r="BQ28" s="15"/>
      <c r="BR28" s="16"/>
      <c r="BS28" s="17"/>
      <c r="BT28" s="13"/>
      <c r="BU28" s="16"/>
      <c r="BV28" s="16"/>
      <c r="BW28" s="15"/>
    </row>
    <row r="29" spans="1:75" s="7" customFormat="1" ht="18" customHeight="1" x14ac:dyDescent="0.35">
      <c r="E29" s="21" t="s">
        <v>41</v>
      </c>
      <c r="F29" s="22"/>
      <c r="G29" s="23">
        <f>Y19</f>
        <v>10000</v>
      </c>
      <c r="J29" s="8"/>
      <c r="M29" s="9"/>
      <c r="AO29" s="10"/>
      <c r="AU29" s="8"/>
      <c r="AV29" s="8"/>
      <c r="BA29" s="11"/>
      <c r="BB29" s="11"/>
      <c r="BE29" s="11"/>
      <c r="BF29" s="10"/>
      <c r="BG29" s="12"/>
      <c r="BH29" s="10"/>
      <c r="BI29" s="10"/>
      <c r="BJ29" s="10"/>
      <c r="BK29" s="10"/>
      <c r="BL29" s="13"/>
      <c r="BM29" s="13"/>
      <c r="BN29" s="13"/>
      <c r="BO29" s="14"/>
      <c r="BP29" s="15"/>
      <c r="BQ29" s="15"/>
      <c r="BR29" s="16"/>
      <c r="BS29" s="17"/>
      <c r="BT29" s="13"/>
      <c r="BU29" s="16"/>
      <c r="BV29" s="16"/>
      <c r="BW29" s="15"/>
    </row>
    <row r="30" spans="1:75" s="7" customFormat="1" ht="18" customHeight="1" x14ac:dyDescent="0.35">
      <c r="E30" s="21" t="s">
        <v>31</v>
      </c>
      <c r="F30" s="22"/>
      <c r="G30" s="23">
        <f>X19-Y19</f>
        <v>490000</v>
      </c>
      <c r="J30" s="11"/>
      <c r="N30" s="9"/>
      <c r="AM30" s="9"/>
      <c r="AO30" s="10"/>
      <c r="AU30" s="8"/>
      <c r="AV30" s="8"/>
      <c r="AY30" s="11"/>
      <c r="BA30" s="11"/>
      <c r="BB30" s="11"/>
      <c r="BE30" s="11"/>
      <c r="BF30" s="10"/>
      <c r="BG30" s="12"/>
      <c r="BH30" s="10"/>
      <c r="BI30" s="10"/>
      <c r="BJ30" s="10"/>
      <c r="BK30" s="10"/>
      <c r="BL30" s="13"/>
      <c r="BM30" s="13"/>
      <c r="BN30" s="13"/>
      <c r="BO30" s="14"/>
      <c r="BP30" s="15"/>
      <c r="BQ30" s="15"/>
      <c r="BR30" s="16"/>
      <c r="BS30" s="17"/>
      <c r="BT30" s="13"/>
      <c r="BU30" s="16"/>
      <c r="BV30" s="16"/>
      <c r="BW30" s="15"/>
    </row>
    <row r="31" spans="1:75" s="7" customFormat="1" ht="18" customHeight="1" thickBot="1" x14ac:dyDescent="0.4">
      <c r="E31" s="26" t="s">
        <v>1</v>
      </c>
      <c r="F31" s="27">
        <f>SUM(F28:F30)</f>
        <v>500000</v>
      </c>
      <c r="G31" s="28">
        <f>SUM(G28:G30)</f>
        <v>500000</v>
      </c>
      <c r="J31" s="11"/>
      <c r="AG31" s="9"/>
      <c r="AL31" s="9"/>
      <c r="AM31" s="9"/>
      <c r="AN31" s="9"/>
      <c r="AO31" s="10"/>
      <c r="AU31" s="8"/>
      <c r="AV31" s="8"/>
      <c r="BA31" s="11"/>
      <c r="BB31" s="11"/>
      <c r="BE31" s="11"/>
      <c r="BF31" s="10"/>
      <c r="BG31" s="12"/>
      <c r="BH31" s="10"/>
      <c r="BI31" s="10"/>
      <c r="BJ31" s="10"/>
      <c r="BK31" s="10"/>
      <c r="BL31" s="13"/>
      <c r="BM31" s="13"/>
      <c r="BN31" s="13"/>
      <c r="BO31" s="14"/>
      <c r="BP31" s="15"/>
      <c r="BQ31" s="15"/>
      <c r="BR31" s="16"/>
      <c r="BS31" s="17"/>
      <c r="BT31" s="13"/>
      <c r="BU31" s="16"/>
      <c r="BV31" s="16"/>
      <c r="BW31" s="15"/>
    </row>
    <row r="32" spans="1:75" s="11" customFormat="1" ht="18" customHeight="1" thickTop="1" x14ac:dyDescent="0.35">
      <c r="A32" s="7"/>
      <c r="B32" s="7"/>
      <c r="C32" s="7"/>
      <c r="D32" s="7"/>
      <c r="E32" s="7"/>
      <c r="F32" s="7"/>
      <c r="G32" s="7"/>
      <c r="H32" s="9"/>
      <c r="I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9"/>
      <c r="AH32" s="7"/>
      <c r="AL32" s="9"/>
      <c r="AM32" s="9"/>
      <c r="AN32" s="9"/>
      <c r="AO32" s="10"/>
      <c r="AP32" s="7"/>
      <c r="AQ32" s="7"/>
      <c r="AR32" s="7"/>
      <c r="AS32" s="7"/>
      <c r="AT32" s="7"/>
      <c r="AU32" s="8"/>
      <c r="AV32" s="8"/>
      <c r="AW32" s="7"/>
      <c r="AX32" s="7"/>
      <c r="AY32" s="7"/>
      <c r="AZ32" s="7"/>
      <c r="BC32" s="7"/>
      <c r="BD32" s="7"/>
      <c r="BF32" s="10"/>
      <c r="BG32" s="12"/>
      <c r="BH32" s="10"/>
      <c r="BI32" s="10"/>
      <c r="BJ32" s="10"/>
      <c r="BK32" s="10"/>
      <c r="BL32" s="10"/>
      <c r="BM32" s="10"/>
      <c r="BN32" s="10"/>
      <c r="BO32" s="14"/>
      <c r="BP32" s="14"/>
      <c r="BQ32" s="14"/>
      <c r="BR32" s="24"/>
      <c r="BS32" s="25"/>
      <c r="BT32" s="10"/>
      <c r="BU32" s="24"/>
      <c r="BV32" s="24"/>
      <c r="BW32" s="14"/>
    </row>
    <row r="33" spans="1:75" s="11" customFormat="1" ht="18" customHeight="1" x14ac:dyDescent="0.35">
      <c r="A33" s="7"/>
      <c r="B33" s="7"/>
      <c r="C33" s="7"/>
      <c r="D33" s="7"/>
      <c r="E33" s="7"/>
      <c r="F33" s="7"/>
      <c r="G33" s="7"/>
      <c r="H33" s="7"/>
      <c r="I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9"/>
      <c r="AH33" s="7"/>
      <c r="AL33" s="9"/>
      <c r="AM33" s="9"/>
      <c r="AN33" s="9"/>
      <c r="AO33" s="7"/>
      <c r="AP33" s="7"/>
      <c r="AQ33" s="7"/>
      <c r="AR33" s="7"/>
      <c r="AS33" s="7"/>
      <c r="AT33" s="7"/>
      <c r="AU33" s="8"/>
      <c r="AV33" s="8"/>
      <c r="AW33" s="7"/>
      <c r="AX33" s="7"/>
      <c r="AY33" s="7"/>
      <c r="AZ33" s="7"/>
      <c r="BC33" s="7"/>
      <c r="BD33" s="7"/>
      <c r="BF33" s="10"/>
      <c r="BG33" s="12"/>
      <c r="BH33" s="10"/>
      <c r="BI33" s="10"/>
      <c r="BJ33" s="10"/>
      <c r="BK33" s="10"/>
      <c r="BL33" s="10"/>
      <c r="BM33" s="10"/>
      <c r="BN33" s="10"/>
      <c r="BO33" s="14"/>
      <c r="BP33" s="14"/>
      <c r="BQ33" s="14"/>
      <c r="BR33" s="24"/>
      <c r="BS33" s="25"/>
      <c r="BT33" s="10"/>
      <c r="BU33" s="24"/>
      <c r="BV33" s="24"/>
      <c r="BW33" s="14"/>
    </row>
  </sheetData>
  <mergeCells count="4">
    <mergeCell ref="E26:G26"/>
    <mergeCell ref="B2:AF2"/>
    <mergeCell ref="B3:AF3"/>
    <mergeCell ref="B4:AF4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All Ticket</vt:lpstr>
      <vt:lpstr>Report</vt:lpstr>
      <vt:lpstr>'All Ticket'!Print_Titles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Tamiru Endeshaw</dc:creator>
  <cp:lastModifiedBy>Helina Bikes</cp:lastModifiedBy>
  <dcterms:created xsi:type="dcterms:W3CDTF">2026-09-07T06:57:43Z</dcterms:created>
  <dcterms:modified xsi:type="dcterms:W3CDTF">2026-09-16T11:34:11Z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ed25e816-bb0d-47b4-b466-8b66a01288ec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ed25e816-bb0d-47b4-b466-8b66a01288ec</vt:lpwstr>
  </property>
  <property fmtid="{D5CDD505-2E9C-101B-9397-08002B2CF9AE}" pid="6" name="GVData3">
    <vt:lpwstr>(end)</vt:lpwstr>
  </property>
  <property fmtid="{D5CDD505-2E9C-101B-9397-08002B2CF9AE}" pid="7" name="UserId">
    <vt:lpwstr>Helina.Bikes</vt:lpwstr>
  </property>
  <property fmtid="{D5CDD505-2E9C-101B-9397-08002B2CF9AE}" pid="8" name="TagDateTime">
    <vt:lpwstr>2026-09-16T11:33:09Z</vt:lpwstr>
  </property>
  <property fmtid="{D5CDD505-2E9C-101B-9397-08002B2CF9AE}" pid="9" name="GVData">
    <vt:lpwstr>eyJPUyI6IldpbmRvd3MiLCJkb2NJRCI6ImVkMjVlODE2LWJiMGQtNDdiNC1iNDY2LThiNjZhMDEyODhlYyIsImRvY1N0YXRlIjoie30iLCJwYXJlbnRMaW5lSWRzIjoiW1wiMjljY2ZhNjAtMWZjNi00ZDFiLTkxNmYtNTA3MjAzMTdmOGI3XCIsXCIzNGY4MWNmMC02</vt:lpwstr>
  </property>
  <property fmtid="{D5CDD505-2E9C-101B-9397-08002B2CF9AE}" pid="10" name="GVData0">
    <vt:lpwstr>YjdjLTQzMjgtYTc2Ni0xN2Y3MjFjYjVkNmZcIixcImYxM2E3ZDM2LTc0YjMtNDNjMC1hZWM3LWJlOTc4ZWU4NmMwNFwiLFwiMGZlNTJmOTEtYTY3Yi00MjI1LTgwM2ItYTBiYTlkZDE0MWRhXCIsXCIxYzE3NzhhYy00NjVhLTRkMjEtOWZhZC1jZDJlODMxZjA1NjZc</vt:lpwstr>
  </property>
  <property fmtid="{D5CDD505-2E9C-101B-9397-08002B2CF9AE}" pid="11" name="GVData1">
    <vt:lpwstr>IixcIjY5YWRlMDAxLTc3OWMtNGYzMy04MjI5LWUxNmRiNjVkYzdjM1wiLFwiOGVlNmYyYzMtOTUyZS00NzhhLTk4NTctM2EyOTBkMTk5Y2UwXCJdIiwid3JpdHRlbktleXMiOiJbXCJDbGFzc2lmaWNhdGlvblRhZ1NldElkXCIsXCJDb21wbGlhbmNlVGFnU2V0SWRc</vt:lpwstr>
  </property>
  <property fmtid="{D5CDD505-2E9C-101B-9397-08002B2CF9AE}" pid="12" name="GVData2">
    <vt:lpwstr>IixcIkZpbGVJZFwiLFwiZ3Zkb2NpZFwiLFwiVGFnRGF0ZVRpbWVcIixcIlVzZXJJZFwiXSIsIm5vT2ZHdkRhdGFFbnRyaWVzIjoiNCIsImxpbmVJZCI6IjI3MWFjZGM0LWQ2ZGMtNDMxOS05MTYxLWJmNDI4OTMwMDVjMSJ9</vt:lpwstr>
  </property>
</Properties>
</file>